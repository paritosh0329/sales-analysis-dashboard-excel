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PARITOSH\OneDrive\Desktop\"/>
    </mc:Choice>
  </mc:AlternateContent>
  <xr:revisionPtr revIDLastSave="0" documentId="13_ncr:1_{54CAD83D-50B6-4006-BA00-CDBE9A3DA494}" xr6:coauthVersionLast="47" xr6:coauthVersionMax="47" xr10:uidLastSave="{00000000-0000-0000-0000-000000000000}"/>
  <bookViews>
    <workbookView xWindow="-108" yWindow="-108" windowWidth="23256" windowHeight="12456" firstSheet="1" activeTab="4" xr2:uid="{AFC6CEE8-9553-4B7E-9165-2661CE8D8F0F}"/>
  </bookViews>
  <sheets>
    <sheet name="fnp dataset"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'fnp dataset'!$A$1:$F$4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5979" r:id="rId7"/>
    <pivotCache cacheId="5997" r:id="rId8"/>
    <pivotCache cacheId="6000" r:id="rId9"/>
    <pivotCache cacheId="6003" r:id="rId10"/>
    <pivotCache cacheId="6006" r:id="rId11"/>
    <pivotCache cacheId="6009" r:id="rId12"/>
    <pivotCache cacheId="6012" r:id="rId13"/>
  </pivotCaches>
  <extLst>
    <ext xmlns:x14="http://schemas.microsoft.com/office/spreadsheetml/2009/9/main" uri="{876F7934-8845-4945-9796-88D515C7AA90}">
      <x14:pivotCaches>
        <pivotCache cacheId="4102"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112"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ed2492bc-7566-400a-aba4-e4e30e1fdba0" name="fnp dataset" connection="Query - fnp dataset"/>
          <x15:modelTable id="Customers_2405c270-38a9-41fc-a83e-3dd73908350d" name="Customers" connection="Query - Customers"/>
          <x15:modelTable id="Orders_a074a0ed-c31c-466f-9ccd-fd8aba7f973e" name="Orders" connection="Query - Orders"/>
          <x15:modelTable id="Products_68832e2e-c3b0-4849-b14d-0344e8550a1d"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260DE1-C48B-43DA-8B30-FE459F4F2F96}" keepAlive="1" name="ModelConnection_ExternalData_1" description="Data Model" type="5" refreshedVersion="8" minRefreshableVersion="5" saveData="1">
    <dbPr connection="Data Model Connection" command="fnp dataset" commandType="3"/>
    <extLst>
      <ext xmlns:x15="http://schemas.microsoft.com/office/spreadsheetml/2010/11/main" uri="{DE250136-89BD-433C-8126-D09CA5730AF9}">
        <x15:connection id="" model="1"/>
      </ext>
    </extLst>
  </connection>
  <connection id="2" xr16:uid="{4E3864C7-4ED6-401C-8F79-CD86F809E481}"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0C5FA4B9-329F-4E98-AF7F-69734C64679F}"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3A1088F1-5D7C-488F-90E4-5EB825EAE5B0}"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EC2081E8-8D87-45F5-B096-DC7ECAA7A4CA}" name="Query - Customers" description="Connection to the 'Customers' query in the workbook." type="100" refreshedVersion="8" minRefreshableVersion="5">
    <extLst>
      <ext xmlns:x15="http://schemas.microsoft.com/office/spreadsheetml/2010/11/main" uri="{DE250136-89BD-433C-8126-D09CA5730AF9}">
        <x15:connection id="23f4f5f0-798b-4658-8258-2ebbf248386f"/>
      </ext>
    </extLst>
  </connection>
  <connection id="6" xr16:uid="{54C2753A-31A0-4EA8-AD15-1C7F3FCC4F46}" name="Query - fnp dataset" description="Connection to the 'fnp dataset' query in the workbook." type="100" refreshedVersion="8" minRefreshableVersion="5">
    <extLst>
      <ext xmlns:x15="http://schemas.microsoft.com/office/spreadsheetml/2010/11/main" uri="{DE250136-89BD-433C-8126-D09CA5730AF9}">
        <x15:connection id="c3ee352a-5cc9-402f-8865-55edac70ab86"/>
      </ext>
    </extLst>
  </connection>
  <connection id="7" xr16:uid="{9B561A4F-1E78-4B55-9124-FB5D941E2B10}" name="Query - Orders" description="Connection to the 'Orders' query in the workbook." type="100" refreshedVersion="8" minRefreshableVersion="5">
    <extLst>
      <ext xmlns:x15="http://schemas.microsoft.com/office/spreadsheetml/2010/11/main" uri="{DE250136-89BD-433C-8126-D09CA5730AF9}">
        <x15:connection id="53fff3da-7ded-429a-88f8-91ce9f3a6297"/>
      </ext>
    </extLst>
  </connection>
  <connection id="8" xr16:uid="{C86C77B8-17CE-4F20-A2FA-F6ED1E0824DE}" name="Query - Products" description="Connection to the 'Products' query in the workbook." type="100" refreshedVersion="8" minRefreshableVersion="5">
    <extLst>
      <ext xmlns:x15="http://schemas.microsoft.com/office/spreadsheetml/2010/11/main" uri="{DE250136-89BD-433C-8126-D09CA5730AF9}">
        <x15:connection id="048f73f2-e905-44b9-8186-9b0f34d93e28"/>
      </ext>
    </extLst>
  </connection>
  <connection id="9" xr16:uid="{C84163BE-68A0-41A3-B0E3-6F03A549C8A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<sst xmlns="http://schemas.openxmlformats.org/spreadsheetml/2006/main" count="6020" uniqueCount="951">
  <si>
    <t>Name</t>
  </si>
  <si>
    <t>Extension</t>
  </si>
  <si>
    <t>Date accessed</t>
  </si>
  <si>
    <t>Date modified</t>
  </si>
  <si>
    <t>Date created</t>
  </si>
  <si>
    <t>Folder Path</t>
  </si>
  <si>
    <t>customers.csv</t>
  </si>
  <si>
    <t>.csv</t>
  </si>
  <si>
    <t>C:\Users\PARITOSH\OneDrive\Desktop\fnp dataset\</t>
  </si>
  <si>
    <t>orders.csv</t>
  </si>
  <si>
    <t>products.csv</t>
  </si>
  <si>
    <t>Customer_ID</t>
  </si>
  <si>
    <t>City</t>
  </si>
  <si>
    <t>Contact_Number</t>
  </si>
  <si>
    <t>Email</t>
  </si>
  <si>
    <t>Gender</t>
  </si>
  <si>
    <t>Address</t>
  </si>
  <si>
    <t>C001</t>
  </si>
  <si>
    <t>Tara Krishnan</t>
  </si>
  <si>
    <t>Panchkula</t>
  </si>
  <si>
    <t>917194000000</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</si>
  <si>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</si>
  <si>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</si>
  <si>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</si>
  <si>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</si>
  <si>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</si>
  <si>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</si>
  <si>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</si>
  <si>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</si>
  <si>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</si>
  <si>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</si>
  <si>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</si>
  <si>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</si>
  <si>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</si>
  <si>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</si>
  <si>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</si>
  <si>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</si>
  <si>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</si>
  <si>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</si>
  <si>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</si>
  <si>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</si>
  <si>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</si>
  <si>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</si>
  <si>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</si>
  <si>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</si>
  <si>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</si>
  <si>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</si>
  <si>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</si>
  <si>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</si>
  <si>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</si>
  <si>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</si>
  <si>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</si>
  <si>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919364000000</t>
  </si>
  <si>
    <t>evaswamy@biswas-sekhon.com</t>
  </si>
  <si>
    <t>15/89, Dayal Chowk, Rohtak 586046</t>
  </si>
  <si>
    <t>C007</t>
  </si>
  <si>
    <t>Jayant Kamdar</t>
  </si>
  <si>
    <t>Berhampore</t>
  </si>
  <si>
    <t>918577000000</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</si>
  <si>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</si>
  <si>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</si>
  <si>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</si>
  <si>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</si>
  <si>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</si>
  <si>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</si>
  <si>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</si>
  <si>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</si>
  <si>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</si>
  <si>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</si>
  <si>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</si>
  <si>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</si>
  <si>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</si>
  <si>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</si>
  <si>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</si>
  <si>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</si>
  <si>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</si>
  <si>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</si>
  <si>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</si>
  <si>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</si>
  <si>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</si>
  <si>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</si>
  <si>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</si>
  <si>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916174000000</t>
  </si>
  <si>
    <t>rsidhu@gmail.com</t>
  </si>
  <si>
    <t>53/710, Tailor Ganj, Gorakhpur-030540</t>
  </si>
  <si>
    <t>C012</t>
  </si>
  <si>
    <t>Onkar Mangat</t>
  </si>
  <si>
    <t>919921000000</t>
  </si>
  <si>
    <t>oorjabassi@wali.com</t>
  </si>
  <si>
    <t>H.No. 460, Sankar Ganj
Tadipatri 227246</t>
  </si>
  <si>
    <t>C013</t>
  </si>
  <si>
    <t>Manikya Goswami</t>
  </si>
  <si>
    <t>Mangalore</t>
  </si>
  <si>
    <t>912113000000</t>
  </si>
  <si>
    <t>settytara@gmail.com</t>
  </si>
  <si>
    <t>382, Banerjee Ganj
Patna 002103</t>
  </si>
  <si>
    <t>C014</t>
  </si>
  <si>
    <t>Indrans Shukla</t>
  </si>
  <si>
    <t>Panvel</t>
  </si>
  <si>
    <t>2717671919</t>
  </si>
  <si>
    <t>rajagopalfateh@dhingra.info</t>
  </si>
  <si>
    <t>67/61, Balan Nagar
Dehri-162882</t>
  </si>
  <si>
    <t>C015</t>
  </si>
  <si>
    <t>Romil Bajwa</t>
  </si>
  <si>
    <t>Kolkata</t>
  </si>
  <si>
    <t>918664000000</t>
  </si>
  <si>
    <t>taimurkashyap@halder.com</t>
  </si>
  <si>
    <t>890, Sathe Circle
Moradabad 800838</t>
  </si>
  <si>
    <t>C016</t>
  </si>
  <si>
    <t>Amani Ganesh</t>
  </si>
  <si>
    <t>Tenali</t>
  </si>
  <si>
    <t>8482992702</t>
  </si>
  <si>
    <t>sumerkaur@yahoo.com</t>
  </si>
  <si>
    <t>667
Som Marg
Rajkot 238865</t>
  </si>
  <si>
    <t>C017</t>
  </si>
  <si>
    <t>Advika Dhar</t>
  </si>
  <si>
    <t>Gangtok</t>
  </si>
  <si>
    <t>912739000000</t>
  </si>
  <si>
    <t>pmaster@deol.com</t>
  </si>
  <si>
    <t>80/81, Varghese Chowk, Bidhannagar-928710</t>
  </si>
  <si>
    <t>C018</t>
  </si>
  <si>
    <t>Eva Vaidya</t>
  </si>
  <si>
    <t>Nizamabad</t>
  </si>
  <si>
    <t>919080000000</t>
  </si>
  <si>
    <t>drishya20@kapadia.com</t>
  </si>
  <si>
    <t>34/29
Manne Circle, Ahmedabad 929297</t>
  </si>
  <si>
    <t>C019</t>
  </si>
  <si>
    <t>Amira Sengupta</t>
  </si>
  <si>
    <t>Danapur</t>
  </si>
  <si>
    <t>914513000000</t>
  </si>
  <si>
    <t>purab20@dhar.com</t>
  </si>
  <si>
    <t>77
Dass Street
Sasaram-948992</t>
  </si>
  <si>
    <t>C020</t>
  </si>
  <si>
    <t>Samaira Ganesh</t>
  </si>
  <si>
    <t>Machilipatnam</t>
  </si>
  <si>
    <t>1731643700</t>
  </si>
  <si>
    <t>golesana@varty-gill.com</t>
  </si>
  <si>
    <t>12, Khosla Chowk
Gopalpur-059682</t>
  </si>
  <si>
    <t>C021</t>
  </si>
  <si>
    <t>Siya Talwar</t>
  </si>
  <si>
    <t>Mehsana</t>
  </si>
  <si>
    <t>915555000000</t>
  </si>
  <si>
    <t>hsunder@raman.info</t>
  </si>
  <si>
    <t>H.No. 617, Brahmbhatt Path, Madanapalle-879728</t>
  </si>
  <si>
    <t>C022</t>
  </si>
  <si>
    <t>Ivana Rout</t>
  </si>
  <si>
    <t>Khandwa</t>
  </si>
  <si>
    <t>913112000000</t>
  </si>
  <si>
    <t>adhar@yahoo.com</t>
  </si>
  <si>
    <t>24
Babu Nagar, Khammam 703294</t>
  </si>
  <si>
    <t>C023</t>
  </si>
  <si>
    <t>Abram Sandhu</t>
  </si>
  <si>
    <t>Bidhannagar</t>
  </si>
  <si>
    <t>7196287267</t>
  </si>
  <si>
    <t>sibalnitya@bhasin.net</t>
  </si>
  <si>
    <t>H.No. 13
Lad Road
Bhiwandi 874382</t>
  </si>
  <si>
    <t>C024</t>
  </si>
  <si>
    <t>Jhanvi Chowdhury</t>
  </si>
  <si>
    <t>Kavali</t>
  </si>
  <si>
    <t>910317000000</t>
  </si>
  <si>
    <t>magarvardaniya@biswas.com</t>
  </si>
  <si>
    <t>827, Shere Nagar, Mangalore 084058</t>
  </si>
  <si>
    <t>C025</t>
  </si>
  <si>
    <t>Ira Bava</t>
  </si>
  <si>
    <t>Singrauli</t>
  </si>
  <si>
    <t>917406000000</t>
  </si>
  <si>
    <t>rastogizain@yahoo.com</t>
  </si>
  <si>
    <t>13/846, Bajaj Road, Nangloi Jat-882740</t>
  </si>
  <si>
    <t>C026</t>
  </si>
  <si>
    <t>Ira Chahal</t>
  </si>
  <si>
    <t>Farrukhabad</t>
  </si>
  <si>
    <t>918716000000</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</si>
  <si>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</si>
  <si>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</si>
  <si>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</si>
  <si>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</si>
  <si>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</si>
  <si>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</si>
  <si>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</si>
  <si>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</si>
  <si>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</si>
  <si>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</si>
  <si>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</si>
  <si>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</si>
  <si>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</si>
  <si>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</si>
  <si>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</si>
  <si>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</si>
  <si>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</si>
  <si>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912454000000</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</si>
  <si>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</si>
  <si>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</si>
  <si>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</si>
  <si>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</si>
  <si>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</si>
  <si>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</si>
  <si>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</si>
  <si>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</si>
  <si>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</si>
  <si>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</si>
  <si>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</si>
  <si>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</si>
  <si>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</si>
  <si>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</si>
  <si>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</si>
  <si>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</si>
  <si>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</si>
  <si>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</si>
  <si>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</si>
  <si>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</si>
  <si>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</si>
  <si>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</si>
  <si>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</si>
  <si>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</si>
  <si>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</si>
  <si>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</si>
  <si>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</si>
  <si>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</si>
  <si>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</si>
  <si>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</si>
  <si>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</si>
  <si>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</si>
  <si>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</si>
  <si>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</si>
  <si>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</si>
  <si>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916900000000</t>
  </si>
  <si>
    <t>zben@cherian.org</t>
  </si>
  <si>
    <t>63, Baria Circle
Siliguri 399443</t>
  </si>
  <si>
    <t>C036</t>
  </si>
  <si>
    <t>Biju Bajwa</t>
  </si>
  <si>
    <t>Dibrugarh</t>
  </si>
  <si>
    <t>918722000000</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</si>
  <si>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</si>
  <si>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</si>
  <si>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</si>
  <si>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</si>
  <si>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</si>
  <si>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</si>
  <si>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</si>
  <si>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</si>
  <si>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</si>
  <si>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</si>
  <si>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</si>
  <si>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</si>
  <si>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</si>
  <si>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</si>
  <si>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</si>
  <si>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</si>
  <si>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</si>
  <si>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918805000000</t>
  </si>
  <si>
    <t>keerzara@deshpande-sandhu.net</t>
  </si>
  <si>
    <t>318
Chokshi Road, Miryalaguda-997025</t>
  </si>
  <si>
    <t>C040</t>
  </si>
  <si>
    <t>Hazel Mangat</t>
  </si>
  <si>
    <t>Pallavaram</t>
  </si>
  <si>
    <t>918811000000</t>
  </si>
  <si>
    <t>aarnakrishna@chokshi.org</t>
  </si>
  <si>
    <t>H.No. 07
Lad Ganj, Jaipur-750706</t>
  </si>
  <si>
    <t>C041</t>
  </si>
  <si>
    <t>Rati Dhingra</t>
  </si>
  <si>
    <t>Karaikudi</t>
  </si>
  <si>
    <t>625408216</t>
  </si>
  <si>
    <t>nirvisekhon@yahoo.com</t>
  </si>
  <si>
    <t>71/531
Kibe Circle, Indore-971559</t>
  </si>
  <si>
    <t>C042</t>
  </si>
  <si>
    <t>Eshani Sharma</t>
  </si>
  <si>
    <t>Ajmer</t>
  </si>
  <si>
    <t>916843000000</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</si>
  <si>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</si>
  <si>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</si>
  <si>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</si>
  <si>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</si>
  <si>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</si>
  <si>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</si>
  <si>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</si>
  <si>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</si>
  <si>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</si>
  <si>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</si>
  <si>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</si>
  <si>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</si>
  <si>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</si>
  <si>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</si>
  <si>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</si>
  <si>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</si>
  <si>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</si>
  <si>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</si>
  <si>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</si>
  <si>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</si>
  <si>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</si>
  <si>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</si>
  <si>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917543000000</t>
  </si>
  <si>
    <t>madanheer@gmail.com</t>
  </si>
  <si>
    <t>H.No. 26
Khurana, Kharagpur-183176</t>
  </si>
  <si>
    <t>C047</t>
  </si>
  <si>
    <t>Bhamini Ravi</t>
  </si>
  <si>
    <t>Jorhat</t>
  </si>
  <si>
    <t>910798000000</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</si>
  <si>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</si>
  <si>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</si>
  <si>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</si>
  <si>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</si>
  <si>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</si>
  <si>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</si>
  <si>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</si>
  <si>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</si>
  <si>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</si>
  <si>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</si>
  <si>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</si>
  <si>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</si>
  <si>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</si>
  <si>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</si>
  <si>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</si>
  <si>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</si>
  <si>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911158000000</t>
  </si>
  <si>
    <t>xmand@hotmail.com</t>
  </si>
  <si>
    <t>80/683
Gandhi Zila
Amravati-523734</t>
  </si>
  <si>
    <t>C051</t>
  </si>
  <si>
    <t>Aradhya Batta</t>
  </si>
  <si>
    <t>Kota</t>
  </si>
  <si>
    <t>911201000000</t>
  </si>
  <si>
    <t>diyakapadia@gmail.com</t>
  </si>
  <si>
    <t>25
Vaidya Street, Deoghar-807286</t>
  </si>
  <si>
    <t>C052</t>
  </si>
  <si>
    <t>Vardaniya Apte</t>
  </si>
  <si>
    <t>Dhanbad</t>
  </si>
  <si>
    <t>5846932069</t>
  </si>
  <si>
    <t>ysoman@thaman.com</t>
  </si>
  <si>
    <t>H.No. 78, Tara Nagar
Narasaraopet-260778</t>
  </si>
  <si>
    <t>C053</t>
  </si>
  <si>
    <t>Kismat Kapadia</t>
  </si>
  <si>
    <t>Bharatpur</t>
  </si>
  <si>
    <t>918068000000</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</si>
  <si>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</si>
  <si>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</si>
  <si>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</si>
  <si>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</si>
  <si>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</si>
  <si>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</si>
  <si>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</si>
  <si>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</si>
  <si>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</si>
  <si>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</si>
  <si>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</si>
  <si>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</si>
  <si>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</si>
  <si>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</si>
  <si>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</si>
  <si>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</si>
  <si>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</si>
  <si>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</si>
  <si>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</si>
  <si>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</si>
  <si>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</si>
  <si>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</si>
  <si>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</si>
  <si>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</si>
  <si>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</si>
  <si>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919772000000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</si>
  <si>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</si>
  <si>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</si>
  <si>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</si>
  <si>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</si>
  <si>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</si>
  <si>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</si>
  <si>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</si>
  <si>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</si>
  <si>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</si>
  <si>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</si>
  <si>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</si>
  <si>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</si>
  <si>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</si>
  <si>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</si>
  <si>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</si>
  <si>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</si>
  <si>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</si>
  <si>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</si>
  <si>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</si>
  <si>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</si>
  <si>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</si>
  <si>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</si>
  <si>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915915000000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</si>
  <si>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</si>
  <si>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</si>
  <si>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</si>
  <si>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</si>
  <si>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</si>
  <si>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</si>
  <si>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</si>
  <si>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</si>
  <si>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</si>
  <si>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</si>
  <si>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</si>
  <si>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916181000000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</si>
  <si>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</si>
  <si>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</si>
  <si>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</si>
  <si>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</si>
  <si>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</si>
  <si>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</si>
  <si>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</si>
  <si>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</si>
  <si>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</si>
  <si>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</si>
  <si>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</si>
  <si>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</si>
  <si>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</si>
  <si>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</si>
  <si>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</si>
  <si>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</si>
  <si>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</si>
  <si>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</si>
  <si>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</si>
  <si>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</si>
  <si>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</si>
  <si>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</si>
  <si>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913720000000</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</si>
  <si>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</si>
  <si>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</si>
  <si>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</si>
  <si>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</si>
  <si>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</si>
  <si>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</si>
  <si>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</si>
  <si>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</si>
  <si>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</si>
  <si>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</si>
  <si>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</si>
  <si>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</si>
  <si>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</si>
  <si>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</si>
  <si>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</si>
  <si>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</si>
  <si>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</si>
  <si>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</si>
  <si>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</si>
  <si>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</si>
  <si>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</si>
  <si>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</si>
  <si>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</si>
  <si>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</si>
  <si>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</si>
  <si>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</si>
  <si>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</si>
  <si>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</si>
  <si>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918038000000</t>
  </si>
  <si>
    <t>vardaniya27@yahoo.com</t>
  </si>
  <si>
    <t>63/76, Karan Street
Kanpur 487263</t>
  </si>
  <si>
    <t>C074</t>
  </si>
  <si>
    <t>Vanya Apte</t>
  </si>
  <si>
    <t>Sultan Pur Majra</t>
  </si>
  <si>
    <t>919183000000</t>
  </si>
  <si>
    <t>gdoshi@gmail.com</t>
  </si>
  <si>
    <t>509, Shah Road, Medininagar 212721</t>
  </si>
  <si>
    <t>C075</t>
  </si>
  <si>
    <t>Yashvi Bansal</t>
  </si>
  <si>
    <t>Aligarh</t>
  </si>
  <si>
    <t>914514000000</t>
  </si>
  <si>
    <t>indranilsastry@gmail.com</t>
  </si>
  <si>
    <t>62, Dash Street
Pondicherry-945886</t>
  </si>
  <si>
    <t>C076</t>
  </si>
  <si>
    <t>Oorja Dayal</t>
  </si>
  <si>
    <t>Gaya</t>
  </si>
  <si>
    <t>916937000000</t>
  </si>
  <si>
    <t>indrajit78@balay-ravi.com</t>
  </si>
  <si>
    <t>49
Sami
Dibrugarh-768751</t>
  </si>
  <si>
    <t>C077</t>
  </si>
  <si>
    <t>Gokul Ahluwalia</t>
  </si>
  <si>
    <t>910414000000</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</si>
  <si>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</si>
  <si>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</si>
  <si>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</si>
  <si>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</si>
  <si>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</si>
  <si>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</si>
  <si>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</si>
  <si>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</si>
  <si>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</si>
  <si>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</si>
  <si>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</si>
  <si>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</si>
  <si>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</si>
  <si>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</si>
  <si>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</si>
  <si>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</si>
  <si>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</si>
  <si>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</si>
  <si>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</si>
  <si>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</si>
  <si>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</si>
  <si>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</si>
  <si>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</si>
  <si>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</si>
  <si>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</si>
  <si>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</si>
  <si>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</si>
  <si>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</si>
  <si>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</si>
  <si>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</si>
  <si>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</si>
  <si>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</si>
  <si>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</si>
  <si>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</si>
  <si>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</si>
  <si>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912690000000</t>
  </si>
  <si>
    <t>devanromil@hotmail.com</t>
  </si>
  <si>
    <t>H.No. 256
Sami Street, Lucknow-283322</t>
  </si>
  <si>
    <t>C084</t>
  </si>
  <si>
    <t>Anahita Shankar</t>
  </si>
  <si>
    <t>Tiruchirappalli</t>
  </si>
  <si>
    <t>912206000000</t>
  </si>
  <si>
    <t>jchada@hotmail.com</t>
  </si>
  <si>
    <t>537
Bahl Nagar
Tinsukia 000008</t>
  </si>
  <si>
    <t>C085</t>
  </si>
  <si>
    <t>Bhamini Johal</t>
  </si>
  <si>
    <t>Raipur</t>
  </si>
  <si>
    <t>913129000000</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</si>
  <si>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</si>
  <si>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</si>
  <si>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</si>
  <si>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</si>
  <si>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</si>
  <si>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</si>
  <si>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</si>
  <si>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</si>
  <si>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</si>
  <si>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</si>
  <si>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</si>
  <si>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</si>
  <si>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</si>
  <si>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</si>
  <si>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</si>
  <si>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</si>
  <si>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919113000000</t>
  </si>
  <si>
    <t>uthkarsh12@yahoo.com</t>
  </si>
  <si>
    <t>H.No. 82, Kala Road, Moradabad-953360</t>
  </si>
  <si>
    <t>C089</t>
  </si>
  <si>
    <t>Oorja Dey</t>
  </si>
  <si>
    <t>Nellore</t>
  </si>
  <si>
    <t>917264000000</t>
  </si>
  <si>
    <t>shanaya87@gmail.com</t>
  </si>
  <si>
    <t>91, Handa Circle
Baranagar-841504</t>
  </si>
  <si>
    <t>C090</t>
  </si>
  <si>
    <t>Drishya De</t>
  </si>
  <si>
    <t>Anantapuram</t>
  </si>
  <si>
    <t>3327374841</t>
  </si>
  <si>
    <t>kakarazad@sura.com</t>
  </si>
  <si>
    <t>12, Wali Ganj
Secunderabad 891177</t>
  </si>
  <si>
    <t>C091</t>
  </si>
  <si>
    <t>Adira Rajan</t>
  </si>
  <si>
    <t>New Delhi</t>
  </si>
  <si>
    <t>915525000000</t>
  </si>
  <si>
    <t>indrans79@gmail.com</t>
  </si>
  <si>
    <t>H.No. 85
Bora Road
Rajpur Sonarpur-156686</t>
  </si>
  <si>
    <t>C092</t>
  </si>
  <si>
    <t>Zoya Mani</t>
  </si>
  <si>
    <t>918918000000</t>
  </si>
  <si>
    <t>obose@gmail.com</t>
  </si>
  <si>
    <t>H.No. 319
Mandal Ganj, Vijayawada-709890</t>
  </si>
  <si>
    <t>C093</t>
  </si>
  <si>
    <t>Mamooty Bawa</t>
  </si>
  <si>
    <t>Tumkur</t>
  </si>
  <si>
    <t>912783000000</t>
  </si>
  <si>
    <t>veer55@chaudhari.net</t>
  </si>
  <si>
    <t>499
Apte Street
Gorakhpur 610533</t>
  </si>
  <si>
    <t>C094</t>
  </si>
  <si>
    <t>Raghav Babu</t>
  </si>
  <si>
    <t>Deoghar</t>
  </si>
  <si>
    <t>914638000000</t>
  </si>
  <si>
    <t>shenoynirvaan@chawla.com</t>
  </si>
  <si>
    <t>83/108
Goyal Chowk
Bhusawal-294899</t>
  </si>
  <si>
    <t>C095</t>
  </si>
  <si>
    <t>Mahika Cherian</t>
  </si>
  <si>
    <t>Warangal</t>
  </si>
  <si>
    <t>2769457161</t>
  </si>
  <si>
    <t>pgala@yahoo.com</t>
  </si>
  <si>
    <t>765
Srinivasan Ganj
Gangtok-960690</t>
  </si>
  <si>
    <t>C096</t>
  </si>
  <si>
    <t>Kavya Reddy</t>
  </si>
  <si>
    <t>Medininagar</t>
  </si>
  <si>
    <t>918681000000</t>
  </si>
  <si>
    <t>balakrishnanzaina@gmail.com</t>
  </si>
  <si>
    <t>88/80
Sheth Chowk, Dewas 052601</t>
  </si>
  <si>
    <t>C097</t>
  </si>
  <si>
    <t>Nakul Randhawa</t>
  </si>
  <si>
    <t>Sri Ganganagar</t>
  </si>
  <si>
    <t>456900126</t>
  </si>
  <si>
    <t>tlall@ramanathan.info</t>
  </si>
  <si>
    <t>376
Tiwari Zila, Munger-178543</t>
  </si>
  <si>
    <t>C098</t>
  </si>
  <si>
    <t>Navya Golla</t>
  </si>
  <si>
    <t>Cuttack</t>
  </si>
  <si>
    <t>914461000000</t>
  </si>
  <si>
    <t>tellamadhup@bhatt-bhasin.info</t>
  </si>
  <si>
    <t>910
Rastogi Circle, Tiruppur 102771</t>
  </si>
  <si>
    <t>C099</t>
  </si>
  <si>
    <t>Ranbir Loyal</t>
  </si>
  <si>
    <t>913621000000</t>
  </si>
  <si>
    <t>reyanshghosh@rajagopalan.com</t>
  </si>
  <si>
    <t>496
Kumer Zila
Raurkela Industrial Township-618990</t>
  </si>
  <si>
    <t>C100</t>
  </si>
  <si>
    <t>Pranay Chaudhary</t>
  </si>
  <si>
    <t>Phagwara</t>
  </si>
  <si>
    <t>919479000000</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</si>
  <si>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</si>
  <si>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</si>
  <si>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</si>
  <si>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</si>
  <si>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</si>
  <si>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</si>
  <si>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</si>
  <si>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</si>
  <si>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</si>
  <si>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</si>
  <si>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</si>
  <si>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</si>
  <si>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</si>
  <si>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diff_order_delivery</t>
  </si>
  <si>
    <t>Hour(delivery)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</si>
  <si>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</si>
  <si>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</si>
  <si>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</si>
  <si>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</si>
  <si>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</si>
  <si>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</si>
  <si>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</si>
  <si>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</si>
  <si>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</si>
  <si>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</si>
  <si>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</si>
  <si>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</si>
  <si>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</si>
  <si>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</si>
  <si>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</si>
  <si>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</si>
  <si>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</si>
  <si>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</si>
  <si>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</si>
  <si>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</si>
  <si>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</si>
  <si>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</si>
  <si>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</si>
  <si>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</si>
  <si>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</si>
  <si>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</si>
  <si>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</si>
  <si>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</si>
  <si>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</si>
  <si>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</si>
  <si>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</si>
  <si>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</si>
  <si>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</si>
  <si>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</si>
  <si>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</si>
  <si>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</si>
  <si>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</si>
  <si>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</si>
  <si>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</si>
  <si>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</si>
  <si>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</si>
  <si>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</si>
  <si>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</si>
  <si>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</si>
  <si>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</si>
  <si>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</si>
  <si>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</si>
  <si>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</si>
  <si>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</si>
  <si>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</si>
  <si>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</si>
  <si>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</si>
  <si>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</si>
  <si>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</si>
  <si>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</si>
  <si>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</si>
  <si>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</si>
  <si>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</si>
  <si>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</si>
  <si>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</si>
  <si>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</si>
  <si>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</si>
  <si>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</si>
  <si>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</si>
  <si>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</si>
  <si>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</si>
  <si>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</si>
  <si>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</si>
  <si>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</si>
  <si>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</si>
  <si>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</si>
  <si>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</si>
  <si>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</si>
  <si>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</si>
  <si>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</si>
  <si>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</si>
  <si>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</si>
  <si>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</si>
  <si>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</si>
  <si>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</si>
  <si>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</si>
  <si>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</si>
  <si>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</si>
  <si>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</si>
  <si>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</si>
  <si>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</si>
  <si>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</si>
  <si>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</si>
  <si>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</si>
  <si>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</si>
  <si>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</si>
  <si>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</si>
  <si>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</si>
  <si>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</si>
  <si>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</si>
  <si>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</si>
  <si>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</si>
  <si>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</si>
  <si>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</si>
  <si>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</si>
  <si>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</si>
  <si>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</si>
  <si>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</si>
  <si>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</si>
  <si>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</si>
  <si>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</si>
  <si>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</si>
  <si>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</si>
  <si>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</si>
  <si>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</si>
  <si>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</si>
  <si>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</si>
  <si>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</si>
  <si>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</si>
  <si>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</si>
  <si>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</si>
  <si>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</si>
  <si>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</si>
  <si>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</si>
  <si>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</si>
  <si>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</si>
  <si>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</si>
  <si>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</si>
  <si>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</si>
  <si>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</si>
  <si>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</si>
  <si>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</si>
  <si>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</si>
  <si>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</si>
  <si>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</si>
  <si>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</si>
  <si>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</si>
  <si>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</si>
  <si>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</si>
  <si>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</si>
  <si>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</si>
  <si>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</si>
  <si>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</si>
  <si>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</si>
  <si>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</si>
  <si>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</si>
  <si>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</si>
  <si>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</si>
  <si>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</si>
  <si>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</si>
  <si>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</si>
  <si>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</si>
  <si>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</si>
  <si>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</si>
  <si>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</si>
  <si>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</si>
  <si>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</si>
  <si>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</si>
  <si>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</si>
  <si>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</si>
  <si>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</si>
  <si>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</si>
  <si>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</si>
  <si>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</si>
  <si>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</si>
  <si>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</si>
  <si>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</si>
  <si>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</si>
  <si>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</si>
  <si>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</si>
  <si>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</si>
  <si>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</si>
  <si>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</si>
  <si>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</si>
  <si>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</si>
  <si>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</si>
  <si>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</si>
  <si>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</si>
  <si>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</si>
  <si>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</si>
  <si>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</si>
  <si>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</si>
  <si>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</si>
  <si>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</si>
  <si>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</si>
  <si>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</si>
  <si>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</si>
  <si>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</si>
  <si>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</si>
  <si>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</si>
  <si>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</si>
  <si>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</si>
  <si>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</si>
  <si>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</si>
  <si>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</si>
  <si>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</si>
  <si>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</si>
  <si>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</si>
  <si>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</si>
  <si>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</si>
  <si>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</si>
  <si>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</si>
  <si>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</si>
  <si>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</si>
  <si>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</si>
  <si>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</si>
  <si>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</si>
  <si>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</si>
  <si>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</si>
  <si>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</si>
  <si>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</si>
  <si>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</si>
  <si>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</si>
  <si>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</si>
  <si>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</si>
  <si>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</si>
  <si>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</si>
  <si>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</si>
  <si>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</si>
  <si>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</si>
  <si>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</si>
  <si>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</si>
  <si>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</si>
  <si>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</si>
  <si>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</si>
  <si>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</si>
  <si>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</si>
  <si>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</si>
  <si>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</si>
  <si>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</si>
  <si>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</si>
  <si>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</si>
  <si>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</si>
  <si>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</si>
  <si>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</si>
  <si>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</si>
  <si>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</si>
  <si>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</si>
  <si>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</si>
  <si>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</si>
  <si>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</si>
  <si>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</si>
  <si>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</si>
  <si>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</si>
  <si>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</si>
  <si>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</si>
  <si>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</si>
  <si>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</si>
  <si>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</si>
  <si>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</si>
  <si>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</si>
  <si>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</si>
  <si>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</si>
  <si>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</si>
  <si>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</si>
  <si>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</si>
  <si>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</si>
  <si>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</si>
  <si>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</si>
  <si>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</si>
  <si>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</si>
  <si>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</si>
  <si>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</si>
  <si>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</si>
  <si>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</si>
  <si>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</si>
  <si>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</si>
  <si>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</si>
  <si>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</si>
  <si>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</si>
  <si>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</si>
  <si>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</si>
  <si>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</si>
  <si>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</si>
  <si>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</si>
  <si>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</si>
  <si>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</si>
  <si>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</si>
  <si>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</si>
  <si>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</si>
  <si>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</si>
  <si>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</si>
  <si>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</si>
  <si>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</si>
  <si>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</si>
  <si>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</si>
  <si>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</si>
  <si>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</si>
  <si>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</si>
  <si>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</si>
  <si>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</si>
  <si>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</si>
  <si>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</si>
  <si>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</si>
  <si>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</si>
  <si>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</si>
  <si>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</si>
  <si>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</si>
  <si>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</si>
  <si>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</si>
  <si>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</si>
  <si>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</si>
  <si>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</si>
  <si>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</si>
  <si>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</si>
  <si>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</si>
  <si>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</si>
  <si>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</si>
  <si>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</si>
  <si>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</si>
  <si>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</si>
  <si>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</si>
  <si>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</si>
  <si>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</si>
  <si>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</si>
  <si>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</si>
  <si>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</si>
  <si>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</si>
  <si>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</si>
  <si>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Grand Total</t>
  </si>
  <si>
    <t>Row Labels</t>
  </si>
  <si>
    <t>Revenue</t>
  </si>
  <si>
    <t>Saturday</t>
  </si>
  <si>
    <t>Wednesday</t>
  </si>
  <si>
    <t>Friday</t>
  </si>
  <si>
    <t>Sunday</t>
  </si>
  <si>
    <t>Monday</t>
  </si>
  <si>
    <t>Tuesday</t>
  </si>
  <si>
    <t>Thursday</t>
  </si>
  <si>
    <t>Day name(Order Date)</t>
  </si>
  <si>
    <t>Sum of Revenue</t>
  </si>
  <si>
    <t>Average of diff_order_delivery</t>
  </si>
  <si>
    <t>Average of Customer Spending</t>
  </si>
  <si>
    <t>Count of Order_ID</t>
  </si>
  <si>
    <t>strongly negative=-1</t>
  </si>
  <si>
    <t>strongly positive=1</t>
  </si>
  <si>
    <t>neutral=near 0</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</si>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</sst>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0" fillId="2" borderId="0" xfId="0" applyFill="1"/>
  </cellXfs>
  <cellStyles count="1">
    <cellStyle name="Normal" xfId="0" builtinId="0"/>
  </cellStyles>
  <dxfs count="24">
    <dxf>
      <numFmt numFmtId="164" formatCode="[$-F400]h:mm:ss\ AM/PM"/>
    </dxf>
    <dxf>
      <numFmt numFmtId="19" formatCode="dd/mm/yyyy"/>
    </dxf>
    <dxf>
      <numFmt numFmtId="164" formatCode="[$-F400]h:mm:ss\ AM/PM"/>
    </dxf>
    <dxf>
      <numFmt numFmtId="19" formatCode="dd/mm/yyyy"/>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[Ferns_and_Petals_Sales_Analysis.xlsx]Sheet1!PivotTable8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Sheet1!$I$14</c:f>
              <c:strCache>
                <c:ptCount val="1"/>
                <c:pt idx="0">
                  <c:v>Total</c:v>
                </c:pt>
              </c:strCache>
            </c:strRef>
          </c:tx>
          <c:spPr>
            <a:solidFill>
              <a:schemeClr val="accent1"/>
            </a:solidFill>
            <a:ln>
              <a:noFill/>
            </a:ln>
            <a:effectLst/>
          </c:spPr>
          <c:invertIfNegative val="0"/>
          <c:cat>
            <c:strRef>
              <c:f>Sheet1!$H$15:$H$22</c:f>
              <c:strCache>
                <c:ptCount val="7"/>
                <c:pt idx="0">
                  <c:v>All Occasions</c:v>
                </c:pt>
                <c:pt idx="1">
                  <c:v>Anniversary</c:v>
                </c:pt>
                <c:pt idx="2">
                  <c:v>Birthday</c:v>
                </c:pt>
                <c:pt idx="3">
                  <c:v>Diwali</c:v>
                </c:pt>
                <c:pt idx="4">
                  <c:v>Holi</c:v>
                </c:pt>
                <c:pt idx="5">
                  <c:v>Raksha Bandhan</c:v>
                </c:pt>
                <c:pt idx="6">
                  <c:v>Valentine's Day</c:v>
                </c:pt>
              </c:strCache>
            </c:strRef>
          </c:cat>
          <c:val>
            <c:numRef>
              <c:f>Sheet1!$I$15:$I$22</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3-EF51-42A1-AD61-709264D4051C}"/>
            </c:ext>
          </c:extLst>
        </c:ser>
        <c:dLbls>
          <c:showLegendKey val="0"/>
          <c:showVal val="0"/>
          <c:showCatName val="0"/>
          <c:showSerName val="0"/>
          <c:showPercent val="0"/>
          <c:showBubbleSize val="0"/>
        </c:dLbls>
        <c:gapWidth val="219"/>
        <c:overlap val="-27"/>
        <c:axId val="780461696"/>
        <c:axId val="780457856"/>
      </c:barChart>
      <c:catAx>
        <c:axId val="78046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457856"/>
        <c:crosses val="autoZero"/>
        <c:auto val="1"/>
        <c:lblAlgn val="ctr"/>
        <c:lblOffset val="100"/>
        <c:noMultiLvlLbl val="0"/>
      </c:catAx>
      <c:valAx>
        <c:axId val="7804578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46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[Ferns_and_Petals_Sales_Analysis.xlsx]Sheet1!PivotTable6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Sheet1!$C$17</c:f>
              <c:strCache>
                <c:ptCount val="1"/>
                <c:pt idx="0">
                  <c:v>Total</c:v>
                </c:pt>
              </c:strCache>
            </c:strRef>
          </c:tx>
          <c:spPr>
            <a:solidFill>
              <a:schemeClr val="accent1"/>
            </a:solidFill>
            <a:ln>
              <a:noFill/>
            </a:ln>
            <a:effectLst/>
          </c:spPr>
          <c:invertIfNegative val="0"/>
          <c:cat>
            <c:strRef>
              <c:f>Sheet1!$B$18:$B$25</c:f>
              <c:strCache>
                <c:ptCount val="7"/>
                <c:pt idx="0">
                  <c:v>Cake</c:v>
                </c:pt>
                <c:pt idx="1">
                  <c:v>Colors</c:v>
                </c:pt>
                <c:pt idx="2">
                  <c:v>Mugs</c:v>
                </c:pt>
                <c:pt idx="3">
                  <c:v>Plants</c:v>
                </c:pt>
                <c:pt idx="4">
                  <c:v>Raksha Bandhan</c:v>
                </c:pt>
                <c:pt idx="5">
                  <c:v>Soft Toys</c:v>
                </c:pt>
                <c:pt idx="6">
                  <c:v>Sweets</c:v>
                </c:pt>
              </c:strCache>
            </c:strRef>
          </c:cat>
          <c:val>
            <c:numRef>
              <c:f>Sheet1!$C$18:$C$25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49-47BF-4040-84B6-5FE03A76129B}"/>
            </c:ext>
          </c:extLst>
        </c:ser>
        <c:dLbls>
          <c:showLegendKey val="0"/>
          <c:showVal val="0"/>
          <c:showCatName val="0"/>
          <c:showSerName val="0"/>
          <c:showPercent val="0"/>
          <c:showBubbleSize val="0"/>
        </c:dLbls>
        <c:gapWidth val="219"/>
        <c:overlap val="-27"/>
        <c:axId val="780468416"/>
        <c:axId val="780467936"/>
      </c:barChart>
      <c:catAx>
        <c:axId val="78046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467936"/>
        <c:crosses val="autoZero"/>
        <c:auto val="1"/>
        <c:lblAlgn val="ctr"/>
        <c:lblOffset val="100"/>
        <c:noMultiLvlLbl val="0"/>
      </c:catAx>
      <c:valAx>
        <c:axId val="7804679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46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[Ferns_and_Petals_Sales_Analysis.xlsx]Sheet1!PivotTable2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none"/>
          </c:marker>
          <c:cat>
            <c:strRef>
              <c:f>Sheet1!$B$2:$B$14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Sheet1!$C$2:$C$14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1-BB52-4F0F-AA2B-33E0847DAE56}"/>
            </c:ext>
          </c:extLst>
        </c:ser>
        <c:dLbls>
          <c:showLegendKey val="0"/>
          <c:showVal val="0"/>
          <c:showCatName val="0"/>
          <c:showSerName val="0"/>
          <c:showPercent val="0"/>
          <c:showBubbleSize val="0"/>
        </c:dLbls>
        <c:smooth val="0"/>
        <c:axId val="780469856"/>
        <c:axId val="780470336"/>
      </c:lineChart>
      <c:catAx>
        <c:axId val="78046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470336"/>
        <c:crosses val="autoZero"/>
        <c:auto val="1"/>
        <c:lblAlgn val="ctr"/>
        <c:lblOffset val="100"/>
        <c:noMultiLvlLbl val="0"/>
      </c:catAx>
      <c:valAx>
        <c:axId val="7804703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46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[Ferns_and_Petals_Sales_Analysis.xlsx]Sheet1!PivotTable5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Sheet1!$F$5</c:f>
              <c:strCache>
                <c:ptCount val="1"/>
                <c:pt idx="0">
                  <c:v>Total</c:v>
                </c:pt>
              </c:strCache>
            </c:strRef>
          </c:tx>
          <c:spPr>
            <a:solidFill>
              <a:schemeClr val="accent1"/>
            </a:solidFill>
            <a:ln>
              <a:noFill/>
            </a:ln>
            <a:effectLst/>
          </c:spPr>
          <c:invertIfNegative val="0"/>
          <c:cat>
            <c:strRef>
              <c:f>Sheet1!$E$6:$E$11</c:f>
              <c:strCache>
                <c:ptCount val="5"/>
                <c:pt idx="0">
                  <c:v>Deserunt Box</c:v>
                </c:pt>
                <c:pt idx="1">
                  <c:v>Dolores Gift</c:v>
                </c:pt>
                <c:pt idx="2">
                  <c:v>Harum Pack</c:v>
                </c:pt>
                <c:pt idx="3">
                  <c:v>Magnam Set</c:v>
                </c:pt>
                <c:pt idx="4">
                  <c:v>Quia Gift</c:v>
                </c:pt>
              </c:strCache>
            </c:strRef>
          </c:cat>
          <c:val>
            <c:numRef>
              <c:f>Sheet1!$F$6:$F$11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5-5D79-414A-AB42-17B868CEC8DB}"/>
            </c:ext>
          </c:extLst>
        </c:ser>
        <c:dLbls>
          <c:showLegendKey val="0"/>
          <c:showVal val="0"/>
          <c:showCatName val="0"/>
          <c:showSerName val="0"/>
          <c:showPercent val="0"/>
          <c:showBubbleSize val="0"/>
        </c:dLbls>
        <c:gapWidth val="219"/>
        <c:overlap val="-27"/>
        <c:axId val="780476096"/>
        <c:axId val="780477056"/>
      </c:barChart>
      <c:catAx>
        <c:axId val="78047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477056"/>
        <c:crosses val="autoZero"/>
        <c:auto val="1"/>
        <c:lblAlgn val="ctr"/>
        <c:lblOffset val="100"/>
        <c:noMultiLvlLbl val="0"/>
      </c:catAx>
      <c:valAx>
        <c:axId val="780477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47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[Ferns_and_Petals_Sales_Analysis.xlsx]Sheet1!PivotTable7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Sheet1!$F$14</c:f>
              <c:strCache>
                <c:ptCount val="1"/>
                <c:pt idx="0">
                  <c:v>Total</c:v>
                </c:pt>
              </c:strCache>
            </c:strRef>
          </c:tx>
          <c:spPr>
            <a:solidFill>
              <a:schemeClr val="accent1"/>
            </a:solidFill>
            <a:ln>
              <a:noFill/>
            </a:ln>
            <a:effectLst/>
          </c:spPr>
          <c:invertIfNegative val="0"/>
          <c:cat>
            <c:strRef>
              <c:f>Sheet1!$E$15:$E$25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Sheet1!$F$15:$F$25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5-AF53-421B-88BC-444EAE9B923C}"/>
            </c:ext>
          </c:extLst>
        </c:ser>
        <c:dLbls>
          <c:showLegendKey val="0"/>
          <c:showVal val="0"/>
          <c:showCatName val="0"/>
          <c:showSerName val="0"/>
          <c:showPercent val="0"/>
          <c:showBubbleSize val="0"/>
        </c:dLbls>
        <c:gapWidth val="219"/>
        <c:overlap val="-27"/>
        <c:axId val="780458336"/>
        <c:axId val="780479936"/>
      </c:barChart>
      <c:catAx>
        <c:axId val="78045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479936"/>
        <c:crosses val="autoZero"/>
        <c:auto val="1"/>
        <c:lblAlgn val="ctr"/>
        <c:lblOffset val="100"/>
        <c:noMultiLvlLbl val="0"/>
      </c:catAx>
      <c:valAx>
        <c:axId val="78047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45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[Ferns_and_Petals_Sales_Analysis.xlsx]Sheet1!PivotTable1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Sheet1!$C$28</c:f>
              <c:strCache>
                <c:ptCount val="1"/>
                <c:pt idx="0">
                  <c:v>Total</c:v>
                </c:pt>
              </c:strCache>
            </c:strRef>
          </c:tx>
          <c:spPr>
            <a:ln w="28575" cap="rnd">
              <a:solidFill>
                <a:schemeClr val="accent1"/>
              </a:solidFill>
              <a:round/>
            </a:ln>
            <a:effectLst/>
          </c:spPr>
          <c:marker>
            <c:symbol val="none"/>
          </c:marker>
          <c:cat>
            <c:strRef>
              <c:f>Sheet1!$B$29:$B$53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Sheet1!$C$29:$C$53</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5-2C2A-4EE9-BE11-DCEE96643485}"/>
            </c:ext>
          </c:extLst>
        </c:ser>
        <c:dLbls>
          <c:showLegendKey val="0"/>
          <c:showVal val="0"/>
          <c:showCatName val="0"/>
          <c:showSerName val="0"/>
          <c:showPercent val="0"/>
          <c:showBubbleSize val="0"/>
        </c:dLbls>
        <c:smooth val="0"/>
        <c:axId val="388049280"/>
        <c:axId val="388049760"/>
      </c:lineChart>
      <c:catAx>
        <c:axId val="38804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049760"/>
        <c:crosses val="autoZero"/>
        <c:auto val="1"/>
        <c:lblAlgn val="ctr"/>
        <c:lblOffset val="100"/>
        <c:tickLblSkip val="2"/>
        <c:noMultiLvlLbl val="0"/>
      </c:catAx>
      <c:valAx>
        <c:axId val="3880497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04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38100</xdr:colOff>
      <xdr:row>9</xdr:row>
      <xdr:rowOff>76200</xdr:rowOff>
    </xdr:from>
    <xdr:to>
      <xdr:col>11</xdr:col>
      <xdr:colOff>861059</xdr:colOff>
      <xdr:row>27</xdr:row>
      <xdr:rowOff>76200</xdr:rowOff>
    </xdr:to>
    <mc:AlternateContent xmlns:mc="http://schemas.openxmlformats.org/markup-compatibility/2006">
      <mc:Choice xmlns:a14="http://schemas.microsoft.com/office/drawing/2010/main" Requires="a14">
        <xdr:graphicFrame macro="">
          <xdr:nvGraphicFramePr>
            <xdr:cNvPr id="10" name="Occasion 2">
              <a:extLst>
                <a:ext uri="{FF2B5EF4-FFF2-40B4-BE49-F238E27FC236}">
                  <a16:creationId xmlns:a16="http://schemas.microsoft.com/office/drawing/2014/main" id="{12E13703-2925-4296-993B-31B2457D2E59}"/>
                </a:ext>
              </a:extLst>
            </xdr:cNvPr>
            <xdr:cNvGraphicFramePr/>
          </xdr:nvGraphicFramePr>
          <xdr:xfrm>
            <a:off x="0" y="0"/>
            <a:ext cx="0" cy="0"/>
          </xdr:xfrm>
          <a:graphic>
            <a:graphicData uri="http://schemas.microsoft.com/office/drawing/2010/slicer">
              <sle:slicer xmlns:sle="http://schemas.microsoft.com/office/drawing/2010/slicer" name="Occasion 2"/>
            </a:graphicData>
          </a:graphic>
        </xdr:graphicFrame>
      </mc:Choice>
      <mc:Fallback>
        <xdr:sp macro="" textlink="">
          <xdr:nvSpPr>
            <xdr:cNvPr id="0" name=""/>
            <xdr:cNvSpPr>
              <a:spLocks noTextEdit="1"/>
            </xdr:cNvSpPr>
          </xdr:nvSpPr>
          <xdr:spPr>
            <a:xfrm>
              <a:off x="10850880" y="1722120"/>
              <a:ext cx="1889759" cy="3291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160020</xdr:colOff>
      <xdr:row>5</xdr:row>
      <xdr:rowOff>129540</xdr:rowOff>
    </xdr:from>
    <xdr:to>
      <xdr:col>6</xdr:col>
      <xdr:colOff>548640</xdr:colOff>
      <xdr:row>21</xdr:row>
      <xdr:rowOff>0</xdr:rowOff>
    </xdr:to>
    <xdr:graphicFrame macro="">
      <xdr:nvGraphicFramePr>
        <xdr:cNvPr id="2" name="Chart 1">
          <a:extLst>
            <a:ext uri="{FF2B5EF4-FFF2-40B4-BE49-F238E27FC236}">
              <a16:creationId xmlns:a16="http://schemas.microsoft.com/office/drawing/2014/main" id="{939945CE-2E37-4E9E-8622-594F6BB57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579120</xdr:colOff>
      <xdr:row>5</xdr:row>
      <xdr:rowOff>114300</xdr:rowOff>
    </xdr:from>
    <xdr:to>
      <xdr:col>13</xdr:col>
      <xdr:colOff>449580</xdr:colOff>
      <xdr:row>20</xdr:row>
      <xdr:rowOff>114300</xdr:rowOff>
    </xdr:to>
    <xdr:graphicFrame macro="">
      <xdr:nvGraphicFramePr>
        <xdr:cNvPr id="3" name="Chart 2">
          <a:extLst>
            <a:ext uri="{FF2B5EF4-FFF2-40B4-BE49-F238E27FC236}">
              <a16:creationId xmlns:a16="http://schemas.microsoft.com/office/drawing/2014/main" id="{C7F9F9C5-A0D1-45D8-BE4D-6AA17AFA4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129540</xdr:colOff>
      <xdr:row>21</xdr:row>
      <xdr:rowOff>45720</xdr:rowOff>
    </xdr:from>
    <xdr:to>
      <xdr:col>6</xdr:col>
      <xdr:colOff>518160</xdr:colOff>
      <xdr:row>36</xdr:row>
      <xdr:rowOff>45720</xdr:rowOff>
    </xdr:to>
    <xdr:graphicFrame macro="">
      <xdr:nvGraphicFramePr>
        <xdr:cNvPr id="4" name="Chart 3">
          <a:extLst>
            <a:ext uri="{FF2B5EF4-FFF2-40B4-BE49-F238E27FC236}">
              <a16:creationId xmlns:a16="http://schemas.microsoft.com/office/drawing/2014/main" id="{717F0665-FE0E-46AC-872B-24A91BC84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541020</xdr:colOff>
      <xdr:row>20</xdr:row>
      <xdr:rowOff>144780</xdr:rowOff>
    </xdr:from>
    <xdr:to>
      <xdr:col>13</xdr:col>
      <xdr:colOff>411480</xdr:colOff>
      <xdr:row>35</xdr:row>
      <xdr:rowOff>144780</xdr:rowOff>
    </xdr:to>
    <xdr:graphicFrame macro="">
      <xdr:nvGraphicFramePr>
        <xdr:cNvPr id="5" name="Chart 4">
          <a:extLst>
            <a:ext uri="{FF2B5EF4-FFF2-40B4-BE49-F238E27FC236}">
              <a16:creationId xmlns:a16="http://schemas.microsoft.com/office/drawing/2014/main" id="{35712249-1639-46DC-948F-EDBE586B6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434340</xdr:colOff>
      <xdr:row>20</xdr:row>
      <xdr:rowOff>99060</xdr:rowOff>
    </xdr:from>
    <xdr:to>
      <xdr:col>19</xdr:col>
      <xdr:colOff>411480</xdr:colOff>
      <xdr:row>35</xdr:row>
      <xdr:rowOff>99060</xdr:rowOff>
    </xdr:to>
    <xdr:graphicFrame macro="">
      <xdr:nvGraphicFramePr>
        <xdr:cNvPr id="6" name="Chart 5">
          <a:extLst>
            <a:ext uri="{FF2B5EF4-FFF2-40B4-BE49-F238E27FC236}">
              <a16:creationId xmlns:a16="http://schemas.microsoft.com/office/drawing/2014/main" id="{FE6281ED-8137-44EA-95B8-BE34B32EE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419100</xdr:colOff>
      <xdr:row>5</xdr:row>
      <xdr:rowOff>121920</xdr:rowOff>
    </xdr:from>
    <xdr:to>
      <xdr:col>19</xdr:col>
      <xdr:colOff>396240</xdr:colOff>
      <xdr:row>20</xdr:row>
      <xdr:rowOff>121920</xdr:rowOff>
    </xdr:to>
    <xdr:graphicFrame macro="">
      <xdr:nvGraphicFramePr>
        <xdr:cNvPr id="9" name="Chart 8">
          <a:extLst>
            <a:ext uri="{FF2B5EF4-FFF2-40B4-BE49-F238E27FC236}">
              <a16:creationId xmlns:a16="http://schemas.microsoft.com/office/drawing/2014/main" id="{F8E0D417-2D48-4B97-A929-A74DBAE74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556260</xdr:colOff>
      <xdr:row>0</xdr:row>
      <xdr:rowOff>121920</xdr:rowOff>
    </xdr:from>
    <xdr:to>
      <xdr:col>19</xdr:col>
      <xdr:colOff>182880</xdr:colOff>
      <xdr:row>4</xdr:row>
      <xdr:rowOff>175260</xdr:rowOff>
    </xdr:to>
    <xdr:sp macro="" textlink="Sheet1!H2">
      <xdr:nvSpPr>
        <xdr:cNvPr id="13" name="Rectangle: Rounded Corners 12">
          <a:extLst>
            <a:ext uri="{FF2B5EF4-FFF2-40B4-BE49-F238E27FC236}">
              <a16:creationId xmlns:a16="http://schemas.microsoft.com/office/drawing/2014/main" id="{348489C3-7A5F-4D25-9E6A-596DA403A29D}"/>
            </a:ext>
          </a:extLst>
        </xdr:cNvPr>
        <xdr:cNvSpPr/>
      </xdr:nvSpPr>
      <xdr:spPr>
        <a:xfrm>
          <a:off x="9700260" y="121920"/>
          <a:ext cx="2065020" cy="784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5B5390E-B749-4F3D-8842-970D64679F9F}" type="TxLink">
            <a:rPr lang="en-US" sz="1600" b="0" i="0" u="none" strike="noStrike">
              <a:solidFill>
                <a:srgbClr val="000000"/>
              </a:solidFill>
              <a:latin typeface="Calibri"/>
              <a:ea typeface="Calibri"/>
              <a:cs typeface="Calibri"/>
            </a:rPr>
            <a:pPr algn="ctr"/>
            <a:t>₹ 3,520.98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a:t>
          </a:r>
          <a:r>
            <a:rPr lang="en-US" sz="1600" b="0" i="0" u="none" strike="noStrike" baseline="0">
              <a:solidFill>
                <a:srgbClr val="000000"/>
              </a:solidFill>
              <a:latin typeface="Calibri"/>
              <a:ea typeface="Calibri"/>
              <a:cs typeface="Calibri"/>
            </a:rPr>
            <a:t> Customer Spent</a:t>
          </a:r>
          <a:endParaRPr lang="en-IN" sz="1600"/>
        </a:p>
      </xdr:txBody>
    </xdr:sp>
    <xdr:clientData/>
  </xdr:twoCellAnchor>
  <xdr:twoCellAnchor editAs="oneCell">
    <xdr:from>
      <xdr:col>19</xdr:col>
      <xdr:colOff>403861</xdr:colOff>
      <xdr:row>15</xdr:row>
      <xdr:rowOff>160020</xdr:rowOff>
    </xdr:from>
    <xdr:to>
      <xdr:col>22</xdr:col>
      <xdr:colOff>464820</xdr:colOff>
      <xdr:row>33</xdr:row>
      <xdr:rowOff>160020</xdr:rowOff>
    </xdr:to>
    <mc:AlternateContent xmlns:mc="http://schemas.openxmlformats.org/markup-compatibility/2006">
      <mc:Choice xmlns:a14="http://schemas.microsoft.com/office/drawing/2010/main" Requires="a14">
        <xdr:graphicFrame macro="">
          <xdr:nvGraphicFramePr>
            <xdr:cNvPr id="14" name="Occasion 1">
              <a:extLst>
                <a:ext uri="{FF2B5EF4-FFF2-40B4-BE49-F238E27FC236}">
                  <a16:creationId xmlns:a16="http://schemas.microsoft.com/office/drawing/2014/main" id="{2E36D012-2284-4D29-BBF1-187D6D1E52EB}"/>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1986261" y="2903220"/>
              <a:ext cx="1889759" cy="3291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388620</xdr:colOff>
      <xdr:row>0</xdr:row>
      <xdr:rowOff>68580</xdr:rowOff>
    </xdr:from>
    <xdr:to>
      <xdr:col>22</xdr:col>
      <xdr:colOff>472440</xdr:colOff>
      <xdr:row>7</xdr:row>
      <xdr:rowOff>160020</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A2A16B35-AFFB-3D3B-6F68-59209AD532B7}"/>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971020" y="68580"/>
              <a:ext cx="191262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396240</xdr:colOff>
      <xdr:row>8</xdr:row>
      <xdr:rowOff>30480</xdr:rowOff>
    </xdr:from>
    <xdr:to>
      <xdr:col>22</xdr:col>
      <xdr:colOff>510540</xdr:colOff>
      <xdr:row>15</xdr:row>
      <xdr:rowOff>121920</xdr:rowOff>
    </xdr:to>
    <mc:AlternateContent xmlns:mc="http://schemas.openxmlformats.org/markup-compatibility/2006">
      <mc:Choice xmlns:tsle="http://schemas.microsoft.com/office/drawing/2012/timeslicer" Requires="tsle">
        <xdr:graphicFrame macro="">
          <xdr:nvGraphicFramePr>
            <xdr:cNvPr id="16" name="Delivery_Date">
              <a:extLst>
                <a:ext uri="{FF2B5EF4-FFF2-40B4-BE49-F238E27FC236}">
                  <a16:creationId xmlns:a16="http://schemas.microsoft.com/office/drawing/2014/main" id="{9BC4DC98-3499-FE62-EAFE-42967A66F67E}"/>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978640" y="1493520"/>
              <a:ext cx="19431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12</xdr:col>
      <xdr:colOff>114300</xdr:colOff>
      <xdr:row>0</xdr:row>
      <xdr:rowOff>137160</xdr:rowOff>
    </xdr:from>
    <xdr:to>
      <xdr:col>15</xdr:col>
      <xdr:colOff>350520</xdr:colOff>
      <xdr:row>5</xdr:row>
      <xdr:rowOff>7620</xdr:rowOff>
    </xdr:to>
    <xdr:sp macro="" textlink="Sheet1!G2">
      <xdr:nvSpPr>
        <xdr:cNvPr id="17" name="Rectangle: Rounded Corners 16">
          <a:extLst>
            <a:ext uri="{FF2B5EF4-FFF2-40B4-BE49-F238E27FC236}">
              <a16:creationId xmlns:a16="http://schemas.microsoft.com/office/drawing/2014/main" id="{8C550E42-CC98-43BB-98B3-5FDEC730FDD0}"/>
            </a:ext>
          </a:extLst>
        </xdr:cNvPr>
        <xdr:cNvSpPr/>
      </xdr:nvSpPr>
      <xdr:spPr>
        <a:xfrm>
          <a:off x="7429500" y="137160"/>
          <a:ext cx="2065020" cy="784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C0508C8-CD13-4158-98EE-700A2FBA696B}" type="TxLink">
            <a:rPr lang="en-US" sz="1400" b="0" i="0" u="none" strike="noStrike">
              <a:solidFill>
                <a:srgbClr val="000000"/>
              </a:solidFill>
              <a:latin typeface="Calibri"/>
              <a:ea typeface="Calibri"/>
              <a:cs typeface="Calibri"/>
            </a:rPr>
            <a:pPr algn="ctr"/>
            <a:t>5.53</a:t>
          </a:fld>
          <a:endParaRPr lang="en-US" sz="14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a:t>
          </a:r>
          <a:r>
            <a:rPr lang="en-US" sz="1600" b="0" i="0" u="none" strike="noStrike" baseline="0">
              <a:solidFill>
                <a:srgbClr val="000000"/>
              </a:solidFill>
              <a:latin typeface="Calibri"/>
              <a:ea typeface="Calibri"/>
              <a:cs typeface="Calibri"/>
            </a:rPr>
            <a:t>-Delivery</a:t>
          </a:r>
          <a:r>
            <a:rPr lang="en-US" sz="1400" b="0" i="0" u="none" strike="noStrike" baseline="0">
              <a:solidFill>
                <a:srgbClr val="000000"/>
              </a:solidFill>
              <a:latin typeface="Calibri"/>
              <a:ea typeface="Calibri"/>
              <a:cs typeface="Calibri"/>
            </a:rPr>
            <a:t> Time</a:t>
          </a:r>
          <a:endParaRPr lang="en-IN" sz="1400"/>
        </a:p>
      </xdr:txBody>
    </xdr:sp>
    <xdr:clientData/>
  </xdr:twoCellAnchor>
  <xdr:twoCellAnchor>
    <xdr:from>
      <xdr:col>8</xdr:col>
      <xdr:colOff>228600</xdr:colOff>
      <xdr:row>0</xdr:row>
      <xdr:rowOff>160020</xdr:rowOff>
    </xdr:from>
    <xdr:to>
      <xdr:col>11</xdr:col>
      <xdr:colOff>464820</xdr:colOff>
      <xdr:row>5</xdr:row>
      <xdr:rowOff>30480</xdr:rowOff>
    </xdr:to>
    <xdr:sp macro="" textlink="Sheet1!F2">
      <xdr:nvSpPr>
        <xdr:cNvPr id="18" name="Rectangle: Rounded Corners 17">
          <a:extLst>
            <a:ext uri="{FF2B5EF4-FFF2-40B4-BE49-F238E27FC236}">
              <a16:creationId xmlns:a16="http://schemas.microsoft.com/office/drawing/2014/main" id="{ACE14948-7BD3-4F33-9D35-367FAA1B301C}"/>
            </a:ext>
          </a:extLst>
        </xdr:cNvPr>
        <xdr:cNvSpPr/>
      </xdr:nvSpPr>
      <xdr:spPr>
        <a:xfrm>
          <a:off x="5105400" y="160020"/>
          <a:ext cx="2065020" cy="784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2B3BDAD-6A2C-42DF-932D-359C92828D66}" type="TxLink">
            <a:rPr lang="en-US" sz="1600" b="0" i="0" u="none" strike="noStrike">
              <a:solidFill>
                <a:srgbClr val="000000"/>
              </a:solidFill>
              <a:latin typeface="Calibri"/>
              <a:ea typeface="Calibri"/>
              <a:cs typeface="Calibri"/>
            </a:rPr>
            <a:pPr algn="ctr"/>
            <a:t>₹ 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IN" sz="1600"/>
        </a:p>
      </xdr:txBody>
    </xdr:sp>
    <xdr:clientData/>
  </xdr:twoCellAnchor>
  <xdr:twoCellAnchor>
    <xdr:from>
      <xdr:col>4</xdr:col>
      <xdr:colOff>396240</xdr:colOff>
      <xdr:row>0</xdr:row>
      <xdr:rowOff>160020</xdr:rowOff>
    </xdr:from>
    <xdr:to>
      <xdr:col>8</xdr:col>
      <xdr:colOff>22860</xdr:colOff>
      <xdr:row>5</xdr:row>
      <xdr:rowOff>30480</xdr:rowOff>
    </xdr:to>
    <xdr:sp macro="" textlink="Sheet1!E2">
      <xdr:nvSpPr>
        <xdr:cNvPr id="19" name="Rectangle: Rounded Corners 18">
          <a:extLst>
            <a:ext uri="{FF2B5EF4-FFF2-40B4-BE49-F238E27FC236}">
              <a16:creationId xmlns:a16="http://schemas.microsoft.com/office/drawing/2014/main" id="{2AC3E162-3F7D-4867-980B-2F33AD2D898A}"/>
            </a:ext>
          </a:extLst>
        </xdr:cNvPr>
        <xdr:cNvSpPr/>
      </xdr:nvSpPr>
      <xdr:spPr>
        <a:xfrm>
          <a:off x="2834640" y="160020"/>
          <a:ext cx="2065020" cy="784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47BC4C6-6F53-48AE-8FBC-E625E26FEDF8}" type="TxLink">
            <a:rPr lang="en-US" sz="1600" b="0" i="0" u="none" strike="noStrike">
              <a:solidFill>
                <a:srgbClr val="000000"/>
              </a:solidFill>
              <a:latin typeface="Calibri"/>
              <a:ea typeface="Calibri"/>
              <a:cs typeface="Calibri"/>
            </a:rP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endParaRPr lang="en-US" sz="1600"/>
        </a:p>
      </xdr:txBody>
    </xdr:sp>
    <xdr:clientData/>
  </xdr:twoCellAnchor>
  <xdr:twoCellAnchor>
    <xdr:from>
      <xdr:col>0</xdr:col>
      <xdr:colOff>114300</xdr:colOff>
      <xdr:row>0</xdr:row>
      <xdr:rowOff>167640</xdr:rowOff>
    </xdr:from>
    <xdr:to>
      <xdr:col>4</xdr:col>
      <xdr:colOff>190500</xdr:colOff>
      <xdr:row>5</xdr:row>
      <xdr:rowOff>38100</xdr:rowOff>
    </xdr:to>
    <xdr:sp macro="" textlink="Sheet1!E2">
      <xdr:nvSpPr>
        <xdr:cNvPr id="20" name="Rectangle: Rounded Corners 19">
          <a:extLst>
            <a:ext uri="{FF2B5EF4-FFF2-40B4-BE49-F238E27FC236}">
              <a16:creationId xmlns:a16="http://schemas.microsoft.com/office/drawing/2014/main" id="{C87AE49A-0CB2-4020-8707-DADF4C1A3E56}"/>
            </a:ext>
          </a:extLst>
        </xdr:cNvPr>
        <xdr:cNvSpPr/>
      </xdr:nvSpPr>
      <xdr:spPr>
        <a:xfrm>
          <a:off x="114300" y="167640"/>
          <a:ext cx="2514600" cy="784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tx1"/>
              </a:solidFill>
            </a:rPr>
            <a:t>        Sales</a:t>
          </a:r>
          <a:r>
            <a:rPr lang="en-US" sz="2000" baseline="0">
              <a:solidFill>
                <a:schemeClr val="tx1"/>
              </a:solidFill>
            </a:rPr>
            <a:t> Analysis</a:t>
          </a:r>
          <a:endParaRPr lang="en-US" sz="2000">
            <a:solidFill>
              <a:schemeClr val="tx1"/>
            </a:solidFill>
          </a:endParaRPr>
        </a:p>
      </xdr:txBody>
    </xdr:sp>
    <xdr:clientData/>
  </xdr:twoCellAnchor>
  <xdr:twoCellAnchor editAs="oneCell">
    <xdr:from>
      <xdr:col>0</xdr:col>
      <xdr:colOff>220980</xdr:colOff>
      <xdr:row>1</xdr:row>
      <xdr:rowOff>99060</xdr:rowOff>
    </xdr:from>
    <xdr:to>
      <xdr:col>1</xdr:col>
      <xdr:colOff>144780</xdr:colOff>
      <xdr:row>4</xdr:row>
      <xdr:rowOff>83820</xdr:rowOff>
    </xdr:to>
    <xdr:pic>
      <xdr:nvPicPr>
        <xdr:cNvPr id="24" name="Picture 23">
          <a:extLst>
            <a:ext uri="{FF2B5EF4-FFF2-40B4-BE49-F238E27FC236}">
              <a16:creationId xmlns:a16="http://schemas.microsoft.com/office/drawing/2014/main" id="{5DA0E47E-4D4D-356C-B55E-3A6CDE45AE7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20980" y="281940"/>
          <a:ext cx="533400" cy="533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ITOSH" refreshedDate="46177.045841087966" backgroundQuery="1" createdVersion="8" refreshedVersion="8" minRefreshableVersion="3" recordCount="0" supportSubquery="1" supportAdvancedDrill="1" xr:uid="{FE3DA258-7AA4-4FD2-B4B6-177DBC27AB1C}">
  <cacheSource type="external" connectionId="9"/>
  <cacheFields count="2">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ITOSH" refreshedDate="46177.047126851852" backgroundQuery="1" createdVersion="8" refreshedVersion="8" minRefreshableVersion="3" recordCount="0" supportSubquery="1" supportAdvancedDrill="1" xr:uid="{6696F358-E680-42FB-8F3B-138E003329C4}">
  <cacheSource type="external" connectionId="9"/>
  <cacheFields count="4">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Hour(order)].[Hour(order)]" caption="Hour(orde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ITOSH" refreshedDate="46177.047127199075" backgroundQuery="1" createdVersion="8" refreshedVersion="8" minRefreshableVersion="3" recordCount="0" supportSubquery="1" supportAdvancedDrill="1" xr:uid="{353CBF50-EC5A-44D1-91ED-A1E411DDE386}">
  <cacheSource type="external" connectionId="9"/>
  <cacheFields count="4">
    <cacheField name="[Measures].[Sum of Revenue]" caption="Sum of Revenue" numFmtId="0" hierarchy="43" level="32767"/>
    <cacheField name="[Measures].[Average of diff_order_delivery]" caption="Average of diff_order_delivery" numFmtId="0" hierarchy="46" level="32767"/>
    <cacheField name="[Measures].[Average of Revenue]" caption="Average of Revenue" numFmtId="0" hierarchy="45" level="32767"/>
    <cacheField name="[Measures].[Count of Order_ID]" caption="Count of Order_ID" numFmtId="0" hierarchy="48"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ITOSH" refreshedDate="46177.047127546299" backgroundQuery="1" createdVersion="8" refreshedVersion="8" minRefreshableVersion="3" recordCount="0" supportSubquery="1" supportAdvancedDrill="1" xr:uid="{FCC2D233-F025-49F0-97DC-AF4D1AE790B6}">
  <cacheSource type="external" connectionId="9"/>
  <cacheFields count="3">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ITOSH" refreshedDate="46177.047128009261" backgroundQuery="1" createdVersion="8" refreshedVersion="8" minRefreshableVersion="3" recordCount="0" supportSubquery="1" supportAdvancedDrill="1" xr:uid="{E72CC5F7-6A48-4871-8522-EB9359F6BC26}">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3" level="32767"/>
    <cacheField name="[Products].[Category].[Category]" caption="Category" numFmtId="0" hierarchy="33" level="1">
      <sharedItems count="7">
        <s v="Cake"/>
        <s v="Colors"/>
        <s v="Mugs"/>
        <s v="Plants"/>
        <s v="Raksha Bandhan"/>
        <s v="Soft Toys"/>
        <s v="Sweets"/>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ITOSH" refreshedDate="46177.047128356484" backgroundQuery="1" createdVersion="8" refreshedVersion="8" minRefreshableVersion="3" recordCount="0" supportSubquery="1" supportAdvancedDrill="1" xr:uid="{1D5E2A43-28A3-489E-B050-1102CB707602}">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ITOSH" refreshedDate="46177.047128703707" backgroundQuery="1" createdVersion="8" refreshedVersion="8" minRefreshableVersion="3" recordCount="0" supportSubquery="1" supportAdvancedDrill="1" xr:uid="{389231D6-354C-4FDE-BF75-3913D31DCDBC}">
  <cacheSource type="external" connectionId="9"/>
  <cacheFields count="3">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ITOSH" refreshedDate="46177.030817013889" backgroundQuery="1" createdVersion="3" refreshedVersion="8" minRefreshableVersion="3" recordCount="0" supportSubquery="1" supportAdvancedDrill="1" xr:uid="{D33588BB-92EE-44BF-A797-61B44CE4ED51}">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304988701"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ITOSH" refreshedDate="46177.03082083333" backgroundQuery="1" createdVersion="3" refreshedVersion="8" minRefreshableVersion="3" recordCount="0" supportSubquery="1" supportAdvancedDrill="1" xr:uid="{E78FF43B-44FC-49B7-939F-F81F6B991EF9}">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80353709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A0737E-7DBD-4ABE-A3B5-48B3BB8C9813}" name="PivotTable1" cacheId="5997" applyNumberFormats="0" applyBorderFormats="0" applyFontFormats="0" applyPatternFormats="0" applyAlignmentFormats="0" applyWidthHeightFormats="1" dataCaption="Values" tag="81b2966f-6ac2-4802-ac00-8690c310b93b" updatedVersion="8" minRefreshableVersion="5" useAutoFormatting="1" subtotalHiddenItems="1" itemPrintTitles="1" createdVersion="8" indent="0" outline="1" outlineData="1" multipleFieldFilters="0" chartFormat="18">
  <location ref="B28:C5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981E39-70DF-4316-9AD9-189CE2E9BF6E}" name="PivotTable6" cacheId="6006" applyNumberFormats="0" applyBorderFormats="0" applyFontFormats="0" applyPatternFormats="0" applyAlignmentFormats="0" applyWidthHeightFormats="1" dataCaption="Values" tag="dd8de733-d7a6-47f8-96dc-0e6bad23fe01" updatedVersion="8" minRefreshableVersion="5" subtotalHiddenItems="1" itemPrintTitles="1" createdVersion="8" indent="0" outline="1" outlineData="1" multipleFieldFilters="0" chartFormat="4">
  <location ref="B17:C25"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3" format="3"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75F0FC-32EA-4983-AA83-8B55960A8A14}" name="PivotTable5" cacheId="6003" applyNumberFormats="0" applyBorderFormats="0" applyFontFormats="0" applyPatternFormats="0" applyAlignmentFormats="0" applyWidthHeightFormats="1" dataCaption="Values" tag="3c4a0d64-5c92-479f-894f-3630e21ad83b" updatedVersion="8" minRefreshableVersion="5" useAutoFormatting="1" subtotalHiddenItems="1" itemPrintTitles="1" createdVersion="8" indent="0" outline="1" outlineData="1" multipleFieldFilters="0" chartFormat="4">
  <location ref="E5:F1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F2E045-0F9B-4D9D-B2D6-95070EC5590C}" name="PivotTable3" cacheId="6000" applyNumberFormats="0" applyBorderFormats="0" applyFontFormats="0" applyPatternFormats="0" applyAlignmentFormats="0" applyWidthHeightFormats="1" dataCaption="Values" tag="79156037-be4a-4807-a16f-826930375069" updatedVersion="8" minRefreshableVersion="5" useAutoFormatting="1" itemPrintTitles="1" createdVersion="8" indent="0" outline="1" outlineData="1" multipleFieldFilters="0">
  <location ref="E1:H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Total Orders Placed" fld="3" subtotal="count" baseField="0" baseItem="1"/>
    <dataField name="Sum of Revenue" fld="0" baseField="0" baseItem="0"/>
    <dataField name="Average of diff_order_delivery" fld="1" subtotal="average" baseField="0" baseItem="0"/>
    <dataField name="Average of Customer Spending" fld="2" subtotal="average" baseField="0" baseItem="2"/>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Revenue"/>
    <pivotHierarchy dragToData="1"/>
    <pivotHierarchy dragToData="1" caption="Average of Customer Spending"/>
    <pivotHierarchy dragToData="1" caption="Average of diff_order_delivery"/>
    <pivotHierarchy dragToData="1"/>
    <pivotHierarchy dragToData="1" caption="Total Orders Place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1A6F23-90F9-40D4-9537-A3D6860DF8B8}" name="PivotTable2" cacheId="5979" applyNumberFormats="0" applyBorderFormats="0" applyFontFormats="0" applyPatternFormats="0" applyAlignmentFormats="0" applyWidthHeightFormats="1" dataCaption="Values" tag="15575091-6a52-41e2-959d-3c27035105e2" updatedVersion="8" minRefreshableVersion="5" useAutoFormatting="1" subtotalHiddenItems="1" itemPrintTitles="1" createdVersion="8" indent="0" outline="1" outlineData="1" multipleFieldFilters="0" chartFormat="9">
  <location ref="B1:C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EB824B-7601-48DC-B87C-E3BE181CC255}" name="PivotTable8" cacheId="6012" applyNumberFormats="0" applyBorderFormats="0" applyFontFormats="0" applyPatternFormats="0" applyAlignmentFormats="0" applyWidthHeightFormats="1" dataCaption="Values" tag="ad16de54-a796-4b9f-8787-1efbade906d5" updatedVersion="8" minRefreshableVersion="5" useAutoFormatting="1" subtotalHiddenItems="1" itemPrintTitles="1" createdVersion="8" indent="0" outline="1" outlineData="1" multipleFieldFilters="0" chartFormat="3">
  <location ref="H14:I22"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2E4D9B-52E4-4DD4-BEA1-C23818FBF1A0}" name="PivotTable7" cacheId="6009" applyNumberFormats="0" applyBorderFormats="0" applyFontFormats="0" applyPatternFormats="0" applyAlignmentFormats="0" applyWidthHeightFormats="1" dataCaption="Values" tag="cbaf26d6-2a60-45d2-8dce-33831be79140" updatedVersion="8" minRefreshableVersion="5" useAutoFormatting="1" subtotalHiddenItems="1" itemPrintTitles="1" createdVersion="8" indent="0" outline="1" outlineData="1" multipleFieldFilters="0" chartFormat="5">
  <location ref="E14:F25"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85C2AA4-7059-40D7-BEEF-0F6E25C50730}"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3BA7EE9A-9FC7-4296-9593-7A367AC147F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1E2AABD4-8467-4353-B815-A06427A6145E}"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order_delivery" tableColumnId="13"/>
      <queryTableField id="14" name="Hour(delivery)" tableColumnId="14"/>
      <queryTableField id="15" name="Price (INR)" tableColumnId="15"/>
      <queryTableField id="16" name="Revenue" tableColumnId="16"/>
      <queryTableField id="18" name="Day name(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7841136F-4F3F-497F-A7D1-349017E570F7}"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033182D-5144-4A25-BDC3-944E9CF9D204}" sourceName="[Orders].[Occasion]">
  <pivotTables>
    <pivotTable tabId="1" name="PivotTable5"/>
    <pivotTable tabId="1" name="PivotTable1"/>
    <pivotTable tabId="1" name="PivotTable2"/>
    <pivotTable tabId="1" name="PivotTable3"/>
    <pivotTable tabId="1" name="PivotTable6"/>
    <pivotTable tabId="1" name="PivotTable7"/>
  </pivotTables>
  <data>
    <olap pivotCacheId="130498870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2" xr10:uid="{3AEB8761-6B3F-476A-B3DD-DA394506F2A3}" cache="Slicer_Occasion" caption="Occasion" level="1" rowHeight="36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F46972D2-376B-466F-9135-A212F2D3A5A1}" cache="Slicer_Occasion" caption="Occasion"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2FE401-B24C-46A2-AC4C-3C7B6911F00F}" name="fnp_dataset" displayName="fnp_dataset" ref="A1:F4" tableType="queryTable" totalsRowShown="0">
  <autoFilter ref="A1:F4" xr:uid="{FA2FE401-B24C-46A2-AC4C-3C7B6911F00F}"/>
  <tableColumns count="6">
    <tableColumn id="1" xr3:uid="{4430938C-FC67-48D8-A2B3-58131EB5E45D}" uniqueName="1" name="Name" queryTableFieldId="1" dataDxfId="23"/>
    <tableColumn id="2" xr3:uid="{1DAC1368-E000-4330-B692-5BADE80224C7}" uniqueName="2" name="Extension" queryTableFieldId="2" dataDxfId="22"/>
    <tableColumn id="3" xr3:uid="{CE33CF23-E1E5-4B60-B48C-AE711D6F8B9F}" uniqueName="3" name="Date accessed" queryTableFieldId="3" dataDxfId="6"/>
    <tableColumn id="4" xr3:uid="{C4F2CE27-3F2B-43CC-8BAB-038B94856B24}" uniqueName="4" name="Date modified" queryTableFieldId="4" dataDxfId="5"/>
    <tableColumn id="5" xr3:uid="{D956744E-69F8-4B14-9888-F4744AF2F6FB}" uniqueName="5" name="Date created" queryTableFieldId="5" dataDxfId="4"/>
    <tableColumn id="6" xr3:uid="{6D8F14CB-5044-4B41-A0B4-B7CA5B9AD25B}" uniqueName="6" name="Folder Path" queryTableFieldId="6"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21C34A-F1B6-4A98-A1F9-2FF43C875308}" name="Customers" displayName="Customers" ref="A1:G101" tableType="queryTable" totalsRowShown="0">
  <autoFilter ref="A1:G101" xr:uid="{F221C34A-F1B6-4A98-A1F9-2FF43C875308}"/>
  <tableColumns count="7">
    <tableColumn id="1" xr3:uid="{FAF75D3D-B6FD-4700-9B67-BC357E760E07}" uniqueName="1" name="Customer_ID" queryTableFieldId="1" dataDxfId="20"/>
    <tableColumn id="2" xr3:uid="{12C48009-D3B0-4B63-A23B-26DBAB4770F1}" uniqueName="2" name="Name" queryTableFieldId="2" dataDxfId="19"/>
    <tableColumn id="3" xr3:uid="{879A6EB6-031B-48D7-98B8-06D910C6BC8E}" uniqueName="3" name="City" queryTableFieldId="3" dataDxfId="18"/>
    <tableColumn id="4" xr3:uid="{0D062471-85F6-48E6-BBA9-E421AF846EAA}" uniqueName="4" name="Contact_Number" queryTableFieldId="4" dataDxfId="17"/>
    <tableColumn id="5" xr3:uid="{67A60954-589E-4143-94EB-531D466EBDA9}" uniqueName="5" name="Email" queryTableFieldId="5" dataDxfId="16"/>
    <tableColumn id="6" xr3:uid="{7956B867-447B-4D9A-BCD4-5576FEB09592}" uniqueName="6" name="Gender" queryTableFieldId="6" dataDxfId="15"/>
    <tableColumn id="7" xr3:uid="{374A5C9C-8892-4CED-9614-84C24323E278}" uniqueName="7" name="Address" queryTableFieldId="7"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284A8B-0FF6-46B5-8A9B-86C164C199B2}" name="Orders" displayName="Orders" ref="A1:Q1001" tableType="queryTable" totalsRowShown="0">
  <autoFilter ref="A1:Q1001" xr:uid="{7B284A8B-0FF6-46B5-8A9B-86C164C199B2}"/>
  <tableColumns count="17">
    <tableColumn id="1" xr3:uid="{CBA609A3-19F1-46F4-869C-B7933F9536A1}" uniqueName="1" name="Order_ID" queryTableFieldId="1"/>
    <tableColumn id="2" xr3:uid="{2F6237D2-719F-4892-9877-FF79D0064CFB}" uniqueName="2" name="Customer_ID" queryTableFieldId="2" dataDxfId="13"/>
    <tableColumn id="3" xr3:uid="{AF47FD5D-FC17-47FD-948F-EA1B80644956}" uniqueName="3" name="Product_ID" queryTableFieldId="3"/>
    <tableColumn id="4" xr3:uid="{1F1C757C-0D32-4F58-B6A5-7C51953420FD}" uniqueName="4" name="Quantity" queryTableFieldId="4"/>
    <tableColumn id="5" xr3:uid="{E7F03D4E-4CD4-41A4-833E-3027F617A219}" uniqueName="5" name="Order_Date" queryTableFieldId="5" dataDxfId="3"/>
    <tableColumn id="6" xr3:uid="{29F46F85-86C5-42C4-879A-4F3749C3144F}" uniqueName="6" name="Order_Time" queryTableFieldId="6" dataDxfId="2"/>
    <tableColumn id="7" xr3:uid="{CD66346F-CFFF-4DB1-AF6A-C4292EA2F40F}" uniqueName="7" name="Delivery_Date" queryTableFieldId="7" dataDxfId="1"/>
    <tableColumn id="8" xr3:uid="{9DBF6FA4-E2F6-4044-A8C1-548E5A6364C7}" uniqueName="8" name="Delivery_Time" queryTableFieldId="8" dataDxfId="0"/>
    <tableColumn id="9" xr3:uid="{36B2DC03-3459-443C-B7BB-7DD8C7DFF749}" uniqueName="9" name="Location" queryTableFieldId="9" dataDxfId="12"/>
    <tableColumn id="10" xr3:uid="{21198125-D6FA-4A9B-BF7F-2E51D677890F}" uniqueName="10" name="Occasion" queryTableFieldId="10" dataDxfId="11"/>
    <tableColumn id="11" xr3:uid="{F279AD32-19D5-4224-8E73-9D2534B0A925}" uniqueName="11" name="Month Name" queryTableFieldId="11" dataDxfId="10"/>
    <tableColumn id="12" xr3:uid="{8AECF743-A6AA-42BF-87D0-4D5C804C5155}" uniqueName="12" name="Hour(order)" queryTableFieldId="12"/>
    <tableColumn id="13" xr3:uid="{C79C3C2D-AA06-4A93-9AE5-32CA7978EDD6}" uniqueName="13" name="diff_order_delivery" queryTableFieldId="13"/>
    <tableColumn id="14" xr3:uid="{EB440470-BEBC-4364-87F9-7DB54B6BFAFA}" uniqueName="14" name="Hour(delivery)" queryTableFieldId="14"/>
    <tableColumn id="15" xr3:uid="{CC1CCBD4-2214-412B-A9A0-E3914439CACD}" uniqueName="15" name="Price (INR)" queryTableFieldId="15"/>
    <tableColumn id="16" xr3:uid="{98E872C8-60C5-47C6-8B60-07283CC9C8E1}" uniqueName="16" name="Revenue" queryTableFieldId="16"/>
    <tableColumn id="18" xr3:uid="{D2B890CC-8F00-432E-A131-CE7084788672}" uniqueName="18" name="Day name(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F4F67D0-5DAA-4461-9816-DFEB9B435CC2}" name="Products" displayName="Products" ref="A1:E71" tableType="queryTable" totalsRowShown="0">
  <autoFilter ref="A1:E71" xr:uid="{CF4F67D0-5DAA-4461-9816-DFEB9B435CC2}"/>
  <tableColumns count="5">
    <tableColumn id="1" xr3:uid="{1C3869FC-E949-4EB4-8722-82CF7C88901E}" uniqueName="1" name="Product_ID" queryTableFieldId="1"/>
    <tableColumn id="2" xr3:uid="{0E7235FA-22EE-4A26-8C8C-B4197815C1A9}" uniqueName="2" name="Product_Name" queryTableFieldId="2" dataDxfId="9"/>
    <tableColumn id="3" xr3:uid="{E59EBA63-74FF-4B19-A43A-982189E695B5}" uniqueName="3" name="Category" queryTableFieldId="3" dataDxfId="8"/>
    <tableColumn id="4" xr3:uid="{7F0A083A-1DD8-4EE2-88E1-AC33C50707A5}" uniqueName="4" name="Price (INR)" queryTableFieldId="4"/>
    <tableColumn id="5" xr3:uid="{AB54C361-7363-44D1-984D-43809626C743}" uniqueName="5" name="Occasion" queryTableFieldId="5"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4940041-0141-42A5-A185-4C3B07D319F4}" sourceName="[Orders].[Order_Date]">
  <pivotTables>
    <pivotTable tabId="1" name="PivotTable1"/>
    <pivotTable tabId="1" name="PivotTable3"/>
    <pivotTable tabId="1" name="PivotTable5"/>
    <pivotTable tabId="1" name="PivotTable6"/>
    <pivotTable tabId="1" name="PivotTable7"/>
    <pivotTable tabId="1" name="PivotTable8"/>
  </pivotTables>
  <state minimalRefreshVersion="6" lastRefreshVersion="6" pivotCacheId="803537090"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07341678-ACE0-4453-87E9-D4A13CDD8980}" sourceName="[Orders].[Delivery_Date]">
  <pivotTables>
    <pivotTable tabId="1" name="PivotTable1"/>
    <pivotTable tabId="1" name="PivotTable2"/>
    <pivotTable tabId="1" name="PivotTable3"/>
    <pivotTable tabId="1" name="PivotTable5"/>
    <pivotTable tabId="1" name="PivotTable6"/>
    <pivotTable tabId="1" name="PivotTable7"/>
    <pivotTable tabId="1" name="PivotTable8"/>
  </pivotTables>
  <state minimalRefreshVersion="6" lastRefreshVersion="6" pivotCacheId="80353709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F4CD241-5043-42A6-92D1-198F4D2613D0}" cache="Timeline_Order_Date" caption="Order_Date" level="3" selectionLevel="3" scrollPosition="2023-02-09T00:00:00"/>
  <timeline name="Delivery_Date" xr10:uid="{5880C270-7BA7-4866-A92D-996C4BC116C3}"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CA346-4293-4875-B0F5-E115DCDEECC4}">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44.44140625" bestFit="1" customWidth="1"/>
  </cols>
  <sheetData>
    <row r="1" spans="1:6" x14ac:dyDescent="0.3">
      <c r="A1" t="s">
        <v>0</v>
      </c>
      <c r="B1" t="s">
        <v>1</v>
      </c>
      <c r="C1" t="s">
        <v>2</v>
      </c>
      <c r="D1" t="s">
        <v>3</v>
      </c>
      <c r="E1" t="s">
        <v>4</v>
      </c>
      <c r="F1" t="s">
        <v>5</v>
      </c>
    </row>
    <row r="2" spans="1:6" x14ac:dyDescent="0.3">
      <c r="A2" t="s">
        <v>6</v>
      </c>
      <c r="B2" t="s">
        <v>7</v>
      </c>
      <c r="C2" s="1">
        <v>46177.023511921296</v>
      </c>
      <c r="D2" s="1">
        <v>46176.62397685185</v>
      </c>
      <c r="E2" s="1">
        <v>46176.623976620373</v>
      </c>
      <c r="F2" t="s">
        <v>8</v>
      </c>
    </row>
    <row r="3" spans="1:6" x14ac:dyDescent="0.3">
      <c r="A3" t="s">
        <v>9</v>
      </c>
      <c r="B3" t="s">
        <v>7</v>
      </c>
      <c r="C3" s="1">
        <v>46177.023465817903</v>
      </c>
      <c r="D3" s="1">
        <v>46176.590285532409</v>
      </c>
      <c r="E3" s="1">
        <v>46176.590281520061</v>
      </c>
      <c r="F3" t="s">
        <v>8</v>
      </c>
    </row>
    <row r="4" spans="1:6" x14ac:dyDescent="0.3">
      <c r="A4" t="s">
        <v>10</v>
      </c>
      <c r="B4" t="s">
        <v>7</v>
      </c>
      <c r="C4" s="1">
        <v>46177.023463117286</v>
      </c>
      <c r="D4" s="1">
        <v>46176.592510069444</v>
      </c>
      <c r="E4" s="1">
        <v>46176.592509567898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4D002-446E-4019-BB48-EF2628E49995}">
  <dimension ref="A1:G101"/>
  <sheetViews>
    <sheetView workbookViewId="0">
      <selection activeCell="I7" sqref="I7"/>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1F534-36E6-4769-8682-FFBBA33E5CCC}">
  <dimension ref="A1:Q1001"/>
  <sheetViews>
    <sheetView topLeftCell="H1" workbookViewId="0">
      <selection activeCell="Q21" sqref="Q2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3.21875" bestFit="1" customWidth="1"/>
    <col min="13" max="13" width="19.5546875" bestFit="1" customWidth="1"/>
    <col min="14" max="14" width="15.44140625" bestFit="1" customWidth="1"/>
    <col min="15" max="15" width="12.109375" bestFit="1" customWidth="1"/>
    <col min="16" max="16" width="10.5546875" bestFit="1" customWidth="1"/>
    <col min="17" max="17" width="22.33203125" bestFit="1" customWidth="1"/>
    <col min="18" max="18"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935</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936</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937</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935</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938</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935</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935</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938</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938</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935</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935</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935</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939</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939</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939</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940</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936</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935</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935</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936</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935</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938</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938</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935</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938</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936</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938</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940</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941</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937</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940</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937</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935</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935</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935</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935</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939</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936</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936</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937</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938</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935</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939</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936</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935</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938</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939</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940</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940</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938</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938</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936</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940</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938</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935</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938</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941</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939</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940</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935</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935</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938</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935</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936</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939</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935</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935</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938</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936</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937</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937</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939</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938</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938</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935</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937</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935</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940</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935</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941</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940</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936</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935</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936</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937</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938</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939</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937</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936</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938</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938</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941</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935</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935</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938</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939</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935</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940</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936</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939</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941</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938</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937</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939</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941</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939</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938</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938</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938</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939</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939</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935</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939</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937</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936</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940</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938</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938</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937</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941</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941</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938</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938</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938</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936</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939</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936</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935</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939</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939</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937</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939</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937</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940</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940</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939</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941</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938</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937</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940</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940</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940</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938</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938</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940</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940</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938</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938</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940</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939</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941</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941</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941</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938</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940</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935</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938</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938</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940</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939</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938</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938</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939</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940</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940</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940</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938</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939</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939</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938</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941</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940</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939</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940</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940</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940</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938</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941</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938</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940</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938</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939</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941</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941</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940</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935</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938</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937</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935</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941</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941</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939</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938</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938</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937</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938</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940</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940</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940</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939</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936</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939</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941</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941</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940</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939</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938</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939</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936</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938</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940</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940</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941</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936</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940</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938</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939</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935</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937</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940</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937</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936</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937</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937</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935</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939</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938</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938</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941</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936</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937</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941</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936</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938</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936</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940</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939</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940</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938</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936</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938</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941</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941</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938</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941</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935</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941</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940</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940</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936</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935</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940</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938</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935</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935</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939</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941</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935</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941</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941</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940</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935</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937</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937</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935</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935</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941</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935</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935</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938</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938</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935</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935</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937</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935</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937</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938</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938</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936</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938</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939</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938</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938</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938</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939</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935</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941</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939</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937</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939</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936</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941</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939</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940</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940</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936</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939</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935</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937</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937</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937</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935</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936</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937</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937</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939</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937</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937</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938</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940</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938</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936</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940</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941</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935</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939</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940</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938</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941</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941</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936</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936</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939</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939</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941</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940</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940</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938</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936</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940</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937</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941</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937</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939</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937</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938</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941</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936</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941</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940</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937</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935</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938</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937</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941</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939</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937</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941</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939</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939</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941</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937</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936</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938</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935</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937</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937</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940</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937</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940</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938</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941</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938</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940</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939</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939</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940</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938</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938</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939</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939</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935</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940</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937</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941</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936</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941</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935</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938</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938</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938</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940</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940</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938</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938</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935</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937</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936</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938</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940</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935</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938</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941</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938</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941</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940</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938</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939</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941</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938</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941</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940</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935</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935</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940</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936</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940</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940</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936</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939</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940</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938</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937</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938</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941</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939</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938</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938</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938</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940</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940</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936</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939</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938</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935</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940</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940</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937</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940</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941</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938</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940</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938</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940</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941</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935</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939</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936</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939</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939</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939</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940</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938</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940</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938</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938</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937</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940</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937</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938</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940</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940</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939</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938</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936</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938</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939</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939</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940</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937</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938</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940</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938</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937</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936</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937</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939</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940</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940</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939</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936</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940</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936</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940</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940</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939</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940</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937</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936</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941</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937</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935</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939</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937</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941</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940</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939</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940</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940</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938</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940</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936</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938</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935</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940</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939</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940</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939</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937</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940</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940</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935</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940</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940</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938</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940</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938</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940</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937</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939</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937</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935</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937</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938</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939</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936</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935</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938</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936</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939</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941</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940</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940</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938</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935</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939</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940</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939</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939</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939</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940</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935</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940</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937</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936</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937</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935</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940</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939</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941</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940</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936</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936</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941</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938</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935</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940</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940</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940</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938</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936</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937</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941</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936</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939</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937</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940</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939</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936</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937</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940</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940</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939</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939</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936</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938</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936</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936</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935</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940</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936</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935</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936</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941</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940</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935</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938</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940</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937</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941</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935</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937</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940</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941</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936</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941</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941</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935</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936</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935</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935</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941</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936</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941</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941</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937</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939</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939</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935</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935</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941</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937</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937</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941</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940</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935</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937</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941</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941</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936</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939</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939</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941</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935</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937</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938</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935</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935</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939</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936</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940</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936</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939</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938</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941</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938</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937</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941</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935</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939</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938</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941</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941</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935</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941</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937</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936</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938</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936</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936</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941</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938</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941</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935</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940</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935</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941</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939</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935</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940</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937</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936</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941</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940</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939</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941</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937</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941</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941</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941</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937</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936</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940</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935</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936</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937</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941</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938</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939</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937</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937</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941</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941</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938</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937</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941</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939</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936</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940</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940</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937</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938</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939</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938</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941</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939</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936</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940</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937</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936</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937</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937</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939</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938</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940</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937</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940</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939</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935</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938</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939</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936</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938</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938</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937</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936</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935</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937</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935</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940</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937</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937</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941</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935</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936</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940</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936</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936</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937</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936</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941</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940</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940</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940</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938</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935</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938</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938</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937</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937</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940</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941</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937</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935</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939</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935</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938</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935</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935</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940</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935</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940</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939</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938</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940</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941</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938</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937</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939</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938</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938</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935</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939</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941</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936</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939</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939</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939</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939</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937</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941</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936</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937</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939</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939</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939</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939</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935</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937</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940</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938</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935</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940</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937</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940</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938</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941</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941</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939</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938</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941</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938</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937</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939</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938</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936</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937</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936</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937</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939</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935</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940</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937</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937</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938</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935</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938</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935</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938</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937</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938</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941</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936</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938</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936</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938</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936</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940</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937</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938</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935</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938</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937</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940</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941</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940</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941</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939</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937</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938</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941</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941</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938</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937</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935</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936</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938</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937</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936</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935</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940</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939</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937</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940</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940</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938</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935</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938</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937</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936</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941</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936</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940</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940</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940</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938</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937</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941</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939</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936</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937</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938</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937</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935</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941</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941</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937</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935</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937</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935</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938</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941</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938</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937</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937</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941</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939</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941</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937</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937</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941</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937</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939</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936</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939</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937</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936</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940</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941</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939</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939</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937</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940</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939</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940</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941</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938</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940</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938</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940</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936</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938</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935</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938</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941</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936</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940</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935</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940</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939</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940</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936</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941</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938</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939</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936</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941</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937</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935</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935</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941</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937</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936</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936</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941</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940</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940</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938</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939</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939</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939</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940</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941</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935</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937</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937</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938</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935</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935</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937</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937</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940</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936</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936</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936</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937</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938</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935</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939</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935</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941</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937</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939</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937</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940</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935</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941</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937</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936</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941</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941</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935</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938</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935</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935</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936</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939</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938</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941</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939</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939</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939</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939</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936</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936</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937</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937</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938</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940</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937</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935</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937</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940</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941</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936</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937</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937</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939</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938</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935</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936</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936</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938</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940</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939</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941</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935</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935</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938</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937</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941</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937</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941</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938</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937</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941</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938</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938</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D94E9-F6AF-4BC0-B1B0-AD69DD8674FB}">
  <dimension ref="A1:E71"/>
  <sheetViews>
    <sheetView workbookViewId="0">
      <selection activeCell="E7" sqref="E7"/>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82056-3BD4-4A37-902A-63180A6BB412}">
  <dimension ref="B1:I53"/>
  <sheetViews>
    <sheetView tabSelected="1" topLeftCell="B1" workbookViewId="0">
      <selection activeCell="C4" sqref="C4"/>
    </sheetView>
  </sheetViews>
  <sheetFormatPr defaultRowHeight="14.4" x14ac:dyDescent="0.3"/>
  <cols>
    <col min="1" max="2" width="12.5546875" bestFit="1" customWidth="1"/>
    <col min="3" max="3" width="14.88671875" bestFit="1" customWidth="1"/>
    <col min="4" max="4" width="15.5546875" bestFit="1" customWidth="1"/>
    <col min="5" max="5" width="13.6640625" bestFit="1" customWidth="1"/>
    <col min="6" max="6" width="16.44140625" bestFit="1" customWidth="1"/>
    <col min="7" max="7" width="27.109375" bestFit="1" customWidth="1"/>
    <col min="8" max="8" width="14.44140625" bestFit="1" customWidth="1"/>
    <col min="9" max="9" width="14.88671875" bestFit="1" customWidth="1"/>
    <col min="10" max="70" width="15.5546875" bestFit="1" customWidth="1"/>
    <col min="71" max="71" width="10.77734375" bestFit="1" customWidth="1"/>
  </cols>
  <sheetData>
    <row r="1" spans="2:9" x14ac:dyDescent="0.3">
      <c r="B1" s="4" t="s">
        <v>933</v>
      </c>
      <c r="C1" t="s">
        <v>943</v>
      </c>
      <c r="E1" t="s">
        <v>950</v>
      </c>
      <c r="F1" t="s">
        <v>943</v>
      </c>
      <c r="G1" t="s">
        <v>944</v>
      </c>
      <c r="H1" t="s">
        <v>945</v>
      </c>
    </row>
    <row r="2" spans="2:9" x14ac:dyDescent="0.3">
      <c r="B2" s="5" t="s">
        <v>842</v>
      </c>
      <c r="C2" s="6">
        <v>95468</v>
      </c>
      <c r="E2" s="7">
        <v>1000</v>
      </c>
      <c r="F2" s="6">
        <v>3520984</v>
      </c>
      <c r="G2" s="7">
        <v>5.53</v>
      </c>
      <c r="H2" s="6">
        <v>3520.9839999999999</v>
      </c>
    </row>
    <row r="3" spans="2:9" x14ac:dyDescent="0.3">
      <c r="B3" s="5" t="s">
        <v>621</v>
      </c>
      <c r="C3" s="6">
        <v>704509</v>
      </c>
    </row>
    <row r="4" spans="2:9" x14ac:dyDescent="0.3">
      <c r="B4" s="5" t="s">
        <v>747</v>
      </c>
      <c r="C4" s="6">
        <v>511823</v>
      </c>
    </row>
    <row r="5" spans="2:9" x14ac:dyDescent="0.3">
      <c r="B5" s="5" t="s">
        <v>837</v>
      </c>
      <c r="C5" s="6">
        <v>140393</v>
      </c>
      <c r="E5" s="4" t="s">
        <v>933</v>
      </c>
      <c r="F5" t="s">
        <v>943</v>
      </c>
    </row>
    <row r="6" spans="2:9" x14ac:dyDescent="0.3">
      <c r="B6" s="5" t="s">
        <v>840</v>
      </c>
      <c r="C6" s="6">
        <v>150346</v>
      </c>
      <c r="E6" s="5" t="s">
        <v>877</v>
      </c>
      <c r="F6" s="6">
        <v>97665</v>
      </c>
      <c r="H6">
        <f>CORREL(Orders[Quantity],Orders[diff_order_delivery])</f>
        <v>3.4781737193018245E-3</v>
      </c>
      <c r="I6" t="s">
        <v>947</v>
      </c>
    </row>
    <row r="7" spans="2:9" x14ac:dyDescent="0.3">
      <c r="B7" s="5" t="s">
        <v>841</v>
      </c>
      <c r="C7" s="6">
        <v>157913</v>
      </c>
      <c r="E7" s="5" t="s">
        <v>918</v>
      </c>
      <c r="F7" s="6">
        <v>106624</v>
      </c>
      <c r="I7" t="s">
        <v>948</v>
      </c>
    </row>
    <row r="8" spans="2:9" x14ac:dyDescent="0.3">
      <c r="B8" s="5" t="s">
        <v>839</v>
      </c>
      <c r="C8" s="6">
        <v>135826</v>
      </c>
      <c r="E8" s="5" t="s">
        <v>910</v>
      </c>
      <c r="F8" s="6">
        <v>101556</v>
      </c>
      <c r="I8" t="s">
        <v>949</v>
      </c>
    </row>
    <row r="9" spans="2:9" x14ac:dyDescent="0.3">
      <c r="B9" s="5" t="s">
        <v>795</v>
      </c>
      <c r="C9" s="6">
        <v>737389</v>
      </c>
      <c r="E9" s="5" t="s">
        <v>858</v>
      </c>
      <c r="F9" s="6">
        <v>121905</v>
      </c>
    </row>
    <row r="10" spans="2:9" x14ac:dyDescent="0.3">
      <c r="B10" s="5" t="s">
        <v>843</v>
      </c>
      <c r="C10" s="6">
        <v>136938</v>
      </c>
      <c r="E10" s="5" t="s">
        <v>884</v>
      </c>
      <c r="F10" s="6">
        <v>114476</v>
      </c>
    </row>
    <row r="11" spans="2:9" x14ac:dyDescent="0.3">
      <c r="B11" s="5" t="s">
        <v>845</v>
      </c>
      <c r="C11" s="6">
        <v>151619</v>
      </c>
      <c r="E11" s="5" t="s">
        <v>932</v>
      </c>
      <c r="F11" s="6">
        <v>542226</v>
      </c>
    </row>
    <row r="12" spans="2:9" x14ac:dyDescent="0.3">
      <c r="B12" s="5" t="s">
        <v>822</v>
      </c>
      <c r="C12" s="6">
        <v>449169</v>
      </c>
    </row>
    <row r="13" spans="2:9" x14ac:dyDescent="0.3">
      <c r="B13" s="5" t="s">
        <v>836</v>
      </c>
      <c r="C13" s="6">
        <v>149591</v>
      </c>
    </row>
    <row r="14" spans="2:9" x14ac:dyDescent="0.3">
      <c r="B14" s="5" t="s">
        <v>932</v>
      </c>
      <c r="C14" s="6">
        <v>3520984</v>
      </c>
      <c r="E14" s="4" t="s">
        <v>933</v>
      </c>
      <c r="F14" t="s">
        <v>946</v>
      </c>
      <c r="H14" s="4" t="s">
        <v>933</v>
      </c>
      <c r="I14" t="s">
        <v>943</v>
      </c>
    </row>
    <row r="15" spans="2:9" x14ac:dyDescent="0.3">
      <c r="E15" s="5" t="s">
        <v>218</v>
      </c>
      <c r="F15" s="7">
        <v>18</v>
      </c>
      <c r="H15" s="5" t="s">
        <v>699</v>
      </c>
      <c r="I15" s="6">
        <v>586176</v>
      </c>
    </row>
    <row r="16" spans="2:9" x14ac:dyDescent="0.3">
      <c r="E16" s="5" t="s">
        <v>152</v>
      </c>
      <c r="F16" s="7">
        <v>21</v>
      </c>
      <c r="H16" s="5" t="s">
        <v>698</v>
      </c>
      <c r="I16" s="6">
        <v>674634</v>
      </c>
    </row>
    <row r="17" spans="2:9" x14ac:dyDescent="0.3">
      <c r="B17" s="4" t="s">
        <v>933</v>
      </c>
      <c r="C17" t="s">
        <v>943</v>
      </c>
      <c r="E17" s="5" t="s">
        <v>32</v>
      </c>
      <c r="F17" s="7">
        <v>18</v>
      </c>
      <c r="H17" s="5" t="s">
        <v>707</v>
      </c>
      <c r="I17" s="6">
        <v>408194</v>
      </c>
    </row>
    <row r="18" spans="2:9" x14ac:dyDescent="0.3">
      <c r="B18" s="5" t="s">
        <v>868</v>
      </c>
      <c r="C18" s="6">
        <v>329862</v>
      </c>
      <c r="E18" s="5" t="s">
        <v>324</v>
      </c>
      <c r="F18" s="7">
        <v>28</v>
      </c>
      <c r="H18" s="5" t="s">
        <v>829</v>
      </c>
      <c r="I18" s="6">
        <v>313783</v>
      </c>
    </row>
    <row r="19" spans="2:9" x14ac:dyDescent="0.3">
      <c r="B19" s="5" t="s">
        <v>863</v>
      </c>
      <c r="C19" s="6">
        <v>1005645</v>
      </c>
      <c r="E19" s="5" t="s">
        <v>230</v>
      </c>
      <c r="F19" s="7">
        <v>21</v>
      </c>
      <c r="H19" s="5" t="s">
        <v>701</v>
      </c>
      <c r="I19" s="6">
        <v>574682</v>
      </c>
    </row>
    <row r="20" spans="2:9" x14ac:dyDescent="0.3">
      <c r="B20" s="5" t="s">
        <v>874</v>
      </c>
      <c r="C20" s="6">
        <v>201151</v>
      </c>
      <c r="E20" s="5" t="s">
        <v>301</v>
      </c>
      <c r="F20" s="7">
        <v>20</v>
      </c>
      <c r="H20" s="5" t="s">
        <v>794</v>
      </c>
      <c r="I20" s="6">
        <v>631585</v>
      </c>
    </row>
    <row r="21" spans="2:9" x14ac:dyDescent="0.3">
      <c r="B21" s="5" t="s">
        <v>861</v>
      </c>
      <c r="C21" s="6">
        <v>212281</v>
      </c>
      <c r="E21" s="5" t="s">
        <v>188</v>
      </c>
      <c r="F21" s="7">
        <v>24</v>
      </c>
      <c r="H21" s="5" t="s">
        <v>620</v>
      </c>
      <c r="I21" s="6">
        <v>331930</v>
      </c>
    </row>
    <row r="22" spans="2:9" x14ac:dyDescent="0.3">
      <c r="B22" s="5" t="s">
        <v>794</v>
      </c>
      <c r="C22" s="6">
        <v>297372</v>
      </c>
      <c r="E22" s="5" t="s">
        <v>307</v>
      </c>
      <c r="F22" s="7">
        <v>29</v>
      </c>
      <c r="H22" s="5" t="s">
        <v>932</v>
      </c>
      <c r="I22" s="6">
        <v>3520984</v>
      </c>
    </row>
    <row r="23" spans="2:9" x14ac:dyDescent="0.3">
      <c r="B23" s="5" t="s">
        <v>859</v>
      </c>
      <c r="C23" s="6">
        <v>740831</v>
      </c>
      <c r="E23" s="5" t="s">
        <v>158</v>
      </c>
      <c r="F23" s="7">
        <v>27</v>
      </c>
    </row>
    <row r="24" spans="2:9" x14ac:dyDescent="0.3">
      <c r="B24" s="5" t="s">
        <v>865</v>
      </c>
      <c r="C24" s="6">
        <v>733842</v>
      </c>
      <c r="E24" s="5" t="s">
        <v>397</v>
      </c>
      <c r="F24" s="7">
        <v>19</v>
      </c>
    </row>
    <row r="25" spans="2:9" x14ac:dyDescent="0.3">
      <c r="B25" s="5" t="s">
        <v>932</v>
      </c>
      <c r="C25" s="6">
        <v>3520984</v>
      </c>
      <c r="E25" s="5" t="s">
        <v>932</v>
      </c>
      <c r="F25" s="7">
        <v>225</v>
      </c>
    </row>
    <row r="28" spans="2:9" x14ac:dyDescent="0.3">
      <c r="B28" s="4" t="s">
        <v>933</v>
      </c>
      <c r="C28" t="s">
        <v>943</v>
      </c>
    </row>
    <row r="29" spans="2:9" x14ac:dyDescent="0.3">
      <c r="B29" s="5">
        <v>0</v>
      </c>
      <c r="C29" s="6">
        <v>99400</v>
      </c>
    </row>
    <row r="30" spans="2:9" x14ac:dyDescent="0.3">
      <c r="B30" s="5">
        <v>1</v>
      </c>
      <c r="C30" s="6">
        <v>129309</v>
      </c>
    </row>
    <row r="31" spans="2:9" x14ac:dyDescent="0.3">
      <c r="B31" s="5">
        <v>2</v>
      </c>
      <c r="C31" s="6">
        <v>152940</v>
      </c>
    </row>
    <row r="32" spans="2:9" x14ac:dyDescent="0.3">
      <c r="B32" s="5">
        <v>3</v>
      </c>
      <c r="C32" s="6">
        <v>146810</v>
      </c>
    </row>
    <row r="33" spans="2:3" x14ac:dyDescent="0.3">
      <c r="B33" s="5">
        <v>4</v>
      </c>
      <c r="C33" s="6">
        <v>114700</v>
      </c>
    </row>
    <row r="34" spans="2:3" x14ac:dyDescent="0.3">
      <c r="B34" s="5">
        <v>5</v>
      </c>
      <c r="C34" s="6">
        <v>156198</v>
      </c>
    </row>
    <row r="35" spans="2:3" x14ac:dyDescent="0.3">
      <c r="B35" s="5">
        <v>6</v>
      </c>
      <c r="C35" s="6">
        <v>177211</v>
      </c>
    </row>
    <row r="36" spans="2:3" x14ac:dyDescent="0.3">
      <c r="B36" s="5">
        <v>7</v>
      </c>
      <c r="C36" s="6">
        <v>147749</v>
      </c>
    </row>
    <row r="37" spans="2:3" x14ac:dyDescent="0.3">
      <c r="B37" s="5">
        <v>8</v>
      </c>
      <c r="C37" s="6">
        <v>133617</v>
      </c>
    </row>
    <row r="38" spans="2:3" x14ac:dyDescent="0.3">
      <c r="B38" s="5">
        <v>9</v>
      </c>
      <c r="C38" s="6">
        <v>153678</v>
      </c>
    </row>
    <row r="39" spans="2:3" x14ac:dyDescent="0.3">
      <c r="B39" s="5">
        <v>10</v>
      </c>
      <c r="C39" s="6">
        <v>94985</v>
      </c>
    </row>
    <row r="40" spans="2:3" x14ac:dyDescent="0.3">
      <c r="B40" s="5">
        <v>11</v>
      </c>
      <c r="C40" s="6">
        <v>130287</v>
      </c>
    </row>
    <row r="41" spans="2:3" x14ac:dyDescent="0.3">
      <c r="B41" s="5">
        <v>12</v>
      </c>
      <c r="C41" s="6">
        <v>162394</v>
      </c>
    </row>
    <row r="42" spans="2:3" x14ac:dyDescent="0.3">
      <c r="B42" s="5">
        <v>13</v>
      </c>
      <c r="C42" s="6">
        <v>152340</v>
      </c>
    </row>
    <row r="43" spans="2:3" x14ac:dyDescent="0.3">
      <c r="B43" s="5">
        <v>14</v>
      </c>
      <c r="C43" s="6">
        <v>126406</v>
      </c>
    </row>
    <row r="44" spans="2:3" x14ac:dyDescent="0.3">
      <c r="B44" s="5">
        <v>15</v>
      </c>
      <c r="C44" s="6">
        <v>163586</v>
      </c>
    </row>
    <row r="45" spans="2:3" x14ac:dyDescent="0.3">
      <c r="B45" s="5">
        <v>16</v>
      </c>
      <c r="C45" s="6">
        <v>128797</v>
      </c>
    </row>
    <row r="46" spans="2:3" x14ac:dyDescent="0.3">
      <c r="B46" s="5">
        <v>17</v>
      </c>
      <c r="C46" s="6">
        <v>155373</v>
      </c>
    </row>
    <row r="47" spans="2:3" x14ac:dyDescent="0.3">
      <c r="B47" s="5">
        <v>18</v>
      </c>
      <c r="C47" s="6">
        <v>173118</v>
      </c>
    </row>
    <row r="48" spans="2:3" x14ac:dyDescent="0.3">
      <c r="B48" s="5">
        <v>19</v>
      </c>
      <c r="C48" s="6">
        <v>185771</v>
      </c>
    </row>
    <row r="49" spans="2:3" x14ac:dyDescent="0.3">
      <c r="B49" s="5">
        <v>20</v>
      </c>
      <c r="C49" s="6">
        <v>186426</v>
      </c>
    </row>
    <row r="50" spans="2:3" x14ac:dyDescent="0.3">
      <c r="B50" s="5">
        <v>21</v>
      </c>
      <c r="C50" s="6">
        <v>155466</v>
      </c>
    </row>
    <row r="51" spans="2:3" x14ac:dyDescent="0.3">
      <c r="B51" s="5">
        <v>22</v>
      </c>
      <c r="C51" s="6">
        <v>125912</v>
      </c>
    </row>
    <row r="52" spans="2:3" x14ac:dyDescent="0.3">
      <c r="B52" s="5">
        <v>23</v>
      </c>
      <c r="C52" s="6">
        <v>168511</v>
      </c>
    </row>
    <row r="53" spans="2:3" x14ac:dyDescent="0.3">
      <c r="B53" s="5" t="s">
        <v>932</v>
      </c>
      <c r="C53" s="6">
        <v>3520984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66CB8-E9AC-4961-822E-FF7BA7977B2B}">
  <dimension ref="A1"/>
  <sheetViews>
    <sheetView topLeftCell="A2" workbookViewId="0">
      <selection activeCell="M6" sqref="M6"/>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A0F9D2C9-66D7-4282-B7BC-DC6A88556143}">
  <ds:schemaRefs/>
</ds:datastoreItem>
</file>

<file path=customXml/itemProps2.xml><?xml version="1.0" encoding="utf-8"?>
<ds:datastoreItem xmlns:ds="http://schemas.openxmlformats.org/officeDocument/2006/customXml" ds:itemID="{F0651D5B-84A3-4727-9D6E-61D2E310EC6F}">
  <ds:schemaRefs/>
</ds:datastoreItem>
</file>

<file path=customXml/itemProps3.xml><?xml version="1.0" encoding="utf-8"?>
<ds:datastoreItem xmlns:ds="http://schemas.openxmlformats.org/officeDocument/2006/customXml" ds:itemID="{E5D74C8C-BD55-496B-AFF1-CDD53B080392}">
  <ds:schemaRefs/>
</ds:datastoreItem>
</file>

<file path=customXml/itemProps4.xml><?xml version="1.0" encoding="utf-8"?>
<ds:datastoreItem xmlns:ds="http://schemas.openxmlformats.org/officeDocument/2006/customXml" ds:itemID="{7C27C67E-73C1-4F45-B539-27863BE50F9A}">
  <ds:schemaRefs/>
</ds:datastoreItem>
</file>

<file path=customXml/itemProps5.xml><?xml version="1.0" encoding="utf-8"?>
<ds:datastoreItem xmlns:ds="http://schemas.openxmlformats.org/officeDocument/2006/customXml" ds:itemID="{8086BF8E-093B-47F6-AC18-AAFEFE78410E}">
  <ds:schemaRefs/>
</ds:datastoreItem>
</file>

<file path=customXml/itemProps6.xml><?xml version="1.0" encoding="utf-8"?>
<ds:datastoreItem xmlns:ds="http://schemas.openxmlformats.org/officeDocument/2006/customXml" ds:itemID="{8CD0F0C6-B81A-49A9-B9A5-51084CF13AB9}">
  <ds:schemaRefs/>
</ds:datastoreItem>
</file>

<file path=customXml/itemProps7.xml><?xml version="1.0" encoding="utf-8"?>
<ds:datastoreItem xmlns:ds="http://schemas.openxmlformats.org/officeDocument/2006/customXml" ds:itemID="{6AD82379-6411-480A-9EBA-B619E1D739C3}">
  <ds:schemaRefs/>
</ds:datastoreItem>
</file>

<file path=customXml/itemProps8.xml><?xml version="1.0" encoding="utf-8"?>
<ds:datastoreItem xmlns:ds="http://schemas.openxmlformats.org/officeDocument/2006/customXml" ds:itemID="{E6E26A4D-5B1D-4984-9A45-7D4C45C76196}">
  <ds:schemaRefs/>
</ds:datastoreItem>
</file>

<file path=customXml/itemProps9.xml><?xml version="1.0" encoding="utf-8"?>
<ds:datastoreItem xmlns:ds="http://schemas.openxmlformats.org/officeDocument/2006/customXml" ds:itemID="{E6CE0B54-BCD2-44B8-9D29-304E4937379A}">
  <ds:schemaRefs/>
</ds:datastoreItem>
</file>

<file path=customXml/itemProps10.xml><?xml version="1.0" encoding="utf-8"?>
<ds:datastoreItem xmlns:ds="http://schemas.openxmlformats.org/officeDocument/2006/customXml" ds:itemID="{EF608DA9-2974-4975-AE48-63DE1F84757C}">
  <ds:schemaRefs/>
</ds:datastoreItem>
</file>

<file path=customXml/itemProps11.xml><?xml version="1.0" encoding="utf-8"?>
<ds:datastoreItem xmlns:ds="http://schemas.openxmlformats.org/officeDocument/2006/customXml" ds:itemID="{BB0C0DE0-09AC-46AA-BFAF-F340E19BADFF}">
  <ds:schemaRefs/>
</ds:datastoreItem>
</file>

<file path=customXml/itemProps12.xml><?xml version="1.0" encoding="utf-8"?>
<ds:datastoreItem xmlns:ds="http://schemas.openxmlformats.org/officeDocument/2006/customXml" ds:itemID="{C04DD2FA-36C1-4B48-8FF6-C8D6B553E826}">
  <ds:schemaRefs>
    <ds:schemaRef ds:uri="http://schemas.microsoft.com/DataMashup"/>
  </ds:schemaRefs>
</ds:datastoreItem>
</file>

<file path=customXml/itemProps13.xml><?xml version="1.0" encoding="utf-8"?>
<ds:datastoreItem xmlns:ds="http://schemas.openxmlformats.org/officeDocument/2006/customXml" ds:itemID="{087EC212-93B7-40B8-A0AA-16EE21D90ACA}">
  <ds:schemaRefs/>
</ds:datastoreItem>
</file>

<file path=customXml/itemProps14.xml><?xml version="1.0" encoding="utf-8"?>
<ds:datastoreItem xmlns:ds="http://schemas.openxmlformats.org/officeDocument/2006/customXml" ds:itemID="{72D7EF07-6981-45F7-9A4B-A25EAE146864}">
  <ds:schemaRefs/>
</ds:datastoreItem>
</file>

<file path=customXml/itemProps15.xml><?xml version="1.0" encoding="utf-8"?>
<ds:datastoreItem xmlns:ds="http://schemas.openxmlformats.org/officeDocument/2006/customXml" ds:itemID="{B4911F22-8131-4054-BE25-BB85ABEEA76C}">
  <ds:schemaRefs/>
</ds:datastoreItem>
</file>

<file path=customXml/itemProps16.xml><?xml version="1.0" encoding="utf-8"?>
<ds:datastoreItem xmlns:ds="http://schemas.openxmlformats.org/officeDocument/2006/customXml" ds:itemID="{E9206DF3-797F-43B9-A981-8B5025250E0E}">
  <ds:schemaRefs/>
</ds:datastoreItem>
</file>

<file path=customXml/itemProps17.xml><?xml version="1.0" encoding="utf-8"?>
<ds:datastoreItem xmlns:ds="http://schemas.openxmlformats.org/officeDocument/2006/customXml" ds:itemID="{747905B7-9835-4BC1-9287-99B857161121}">
  <ds:schemaRefs/>
</ds:datastoreItem>
</file>

<file path=customXml/itemProps18.xml><?xml version="1.0" encoding="utf-8"?>
<ds:datastoreItem xmlns:ds="http://schemas.openxmlformats.org/officeDocument/2006/customXml" ds:itemID="{DA335854-808A-4880-AAF6-8ECED96667F1}">
  <ds:schemaRefs/>
</ds:datastoreItem>
</file>

<file path=customXml/itemProps19.xml><?xml version="1.0" encoding="utf-8"?>
<ds:datastoreItem xmlns:ds="http://schemas.openxmlformats.org/officeDocument/2006/customXml" ds:itemID="{392783F2-5B8E-473E-AD81-4F651C12E36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paritosh vishal</dc:creator>
  <cp:lastModifiedBy>paritosh vishal</cp:lastModifiedBy>
  <dcterms:created xsi:type="dcterms:W3CDTF">2026-06-03T08:54:14Z</dcterms:created>
  <dcterms:modified xsi:type="dcterms:W3CDTF">2026-06-03T19:40:01Z</dcterms:modified>
</cp:coreProperties>
</file>